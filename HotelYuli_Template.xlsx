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 2025" sheetId="1" r:id="rId4"/>
    <sheet state="visible" name="Income&amp;Expenses 2025" sheetId="2" r:id="rId5"/>
    <sheet state="visible" name="Expenses 2026" sheetId="3" r:id="rId6"/>
    <sheet state="visible" name=" Income&amp;Expenses 2026" sheetId="4" r:id="rId7"/>
  </sheets>
  <externalReferences>
    <externalReference r:id="rId8"/>
  </externalReferences>
  <definedNames>
    <definedName localSheetId="1" name="MonthlyChart_Data1">OFFSET('[1]Planned expenses'!$C$37,0,0,1,'Income&amp;expenses'!MonthsWithActual)</definedName>
    <definedName name="MonthlyChart_Data1">OFFSET(Expenses!$C$60,0,0,1,MonthsWithActual)</definedName>
    <definedName localSheetId="1" name="MonthsWithActual">COUNTIF('Income&amp;expenses'!$C$37:$N$37,"&lt;&gt;"&amp;0)</definedName>
    <definedName name="MonthsWithActual">COUNTIF(#REF!,"&lt;&gt;"&amp;0)</definedName>
  </definedNames>
  <calcPr/>
  <extLst>
    <ext uri="GoogleSheetsCustomDataVersion2">
      <go:sheetsCustomData xmlns:go="http://customooxmlschemas.google.com/" r:id="rId9" roundtripDataChecksum="nuq7Nk0AyniPlG5VR3wmip0Z6UZKJhdlOfVcKmXjB7o="/>
    </ext>
  </extLst>
</workbook>
</file>

<file path=xl/sharedStrings.xml><?xml version="1.0" encoding="utf-8"?>
<sst xmlns="http://schemas.openxmlformats.org/spreadsheetml/2006/main" count="314" uniqueCount="121">
  <si>
    <t>Hotel Yuli Income</t>
  </si>
  <si>
    <t xml:space="preserve"> </t>
  </si>
  <si>
    <t xml:space="preserve">Hotel Yuli EXPENSES </t>
  </si>
  <si>
    <t xml:space="preserve">Hotel Info </t>
  </si>
  <si>
    <t xml:space="preserve">rooms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</si>
  <si>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</si>
  <si>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</si>
  <si>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</si>
  <si>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</si>
  <si>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</si>
  <si>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</si>
  <si>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</si>
  <si>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</si>
  <si>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</si>
  <si>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</si>
  <si>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</si>
  <si>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</si>
  <si>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</si>
  <si>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 xml:space="preserve">TOTAL GROSS PROFIT </t>
  </si>
  <si>
    <t xml:space="preserve"> EMPLOYEE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</si>
  <si>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</si>
  <si>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</si>
  <si>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</si>
  <si>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</si>
  <si>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</si>
  <si>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</si>
  <si>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</si>
  <si>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</si>
  <si>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</si>
  <si>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</si>
  <si>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</si>
  <si>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</si>
  <si>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</si>
  <si>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PLANILLA</t>
  </si>
  <si>
    <t>CCSS</t>
  </si>
  <si>
    <t>Total Operating Costs​</t>
  </si>
  <si>
    <t xml:space="preserve">Henrry                                                                                                                                                                                            </t>
  </si>
  <si>
    <t xml:space="preserve">TOTAL NET PROFIT </t>
  </si>
  <si>
    <t xml:space="preserve"> TOTAL</t>
  </si>
  <si>
    <t>Fixed operating expenses</t>
  </si>
  <si>
    <t>Accountant</t>
  </si>
  <si>
    <t>Occupancy Rate</t>
  </si>
  <si>
    <t>89 %</t>
  </si>
  <si>
    <t>75 %</t>
  </si>
  <si>
    <t>ADR – Average Daily Rate</t>
  </si>
  <si>
    <t>80,14 $</t>
  </si>
  <si>
    <t>80,59 $</t>
  </si>
  <si>
    <t>74,68 $</t>
  </si>
  <si>
    <t>74,88 $</t>
  </si>
  <si>
    <t>57,39 $</t>
  </si>
  <si>
    <t>52,30 $</t>
  </si>
  <si>
    <t>58,60 $</t>
  </si>
  <si>
    <t>MANTENIMIENTO DE PISCINAS</t>
  </si>
  <si>
    <t>64,88 $</t>
  </si>
  <si>
    <t>52,90 $</t>
  </si>
  <si>
    <t>60,17 $</t>
  </si>
  <si>
    <t>RevPAR – Revenue per Available Room</t>
  </si>
  <si>
    <t>71,55 $</t>
  </si>
  <si>
    <t>Gas</t>
  </si>
  <si>
    <t>75,80 $</t>
  </si>
  <si>
    <t>67,04 $</t>
  </si>
  <si>
    <t>57,48 $</t>
  </si>
  <si>
    <t>31,01 $</t>
  </si>
  <si>
    <t>22,27 $</t>
  </si>
  <si>
    <t>43,07 $</t>
  </si>
  <si>
    <t>50,58 $</t>
  </si>
  <si>
    <t>37 $</t>
  </si>
  <si>
    <t>26,62 $</t>
  </si>
  <si>
    <t>RevPOR – Revenue per Occupied Room</t>
  </si>
  <si>
    <t>CPOR – Cost per Occupied Room</t>
  </si>
  <si>
    <t>Electric</t>
  </si>
  <si>
    <t>Direct Booking Ratio</t>
  </si>
  <si>
    <t>Water</t>
  </si>
  <si>
    <t>OTA Commission Cost %</t>
  </si>
  <si>
    <t>GOPPAR – Gross Operating Profit per Available Room</t>
  </si>
  <si>
    <t>INTERNET</t>
  </si>
  <si>
    <t xml:space="preserve">TELEPHONE </t>
  </si>
  <si>
    <t>Strauss Water</t>
  </si>
  <si>
    <t>GARDEN/</t>
  </si>
  <si>
    <t>SERVICIOS SANITARIOS JS</t>
  </si>
  <si>
    <t>GOOGLE LLC</t>
  </si>
  <si>
    <t>GOOGLE ADS</t>
  </si>
  <si>
    <t xml:space="preserve">MNK Seguros </t>
  </si>
  <si>
    <t>Hotel Competence LLC</t>
  </si>
  <si>
    <t>PARQUEO</t>
  </si>
  <si>
    <t xml:space="preserve">OSA </t>
  </si>
  <si>
    <t>HACIENDA - RENTA</t>
  </si>
  <si>
    <r>
      <rPr>
        <rFont val="Palatino Linotype"/>
        <b/>
        <color rgb="FF262626"/>
        <sz val="12.0"/>
      </rPr>
      <t xml:space="preserve">Limpieza - </t>
    </r>
    <r>
      <rPr>
        <rFont val="Palatino Linotype"/>
        <b/>
        <color rgb="FF262626"/>
        <sz val="11.0"/>
      </rPr>
      <t>servecios profossionales</t>
    </r>
  </si>
  <si>
    <t>Variable operating expenses</t>
  </si>
  <si>
    <t>SUPPLIES</t>
  </si>
  <si>
    <t>HR Suplidora</t>
  </si>
  <si>
    <t xml:space="preserve">Breakfast to go </t>
  </si>
  <si>
    <t>Variance Pequeno / WALMART ...</t>
  </si>
  <si>
    <t xml:space="preserve">NELSON and others </t>
  </si>
  <si>
    <r>
      <rPr>
        <rFont val="Palatino Linotype"/>
        <b/>
        <color rgb="FF262626"/>
        <sz val="12.0"/>
      </rPr>
      <t xml:space="preserve">Limpieza - </t>
    </r>
    <r>
      <rPr>
        <rFont val="Palatino Linotype"/>
        <b/>
        <color rgb="FF262626"/>
        <sz val="11.0"/>
      </rPr>
      <t>servecios profossionales</t>
    </r>
  </si>
  <si>
    <t xml:space="preserve">AC </t>
  </si>
  <si>
    <t>NOVEX</t>
  </si>
  <si>
    <t>Ferretería Palmares</t>
  </si>
  <si>
    <t>Ferreteria EPA S.A.</t>
  </si>
  <si>
    <t>EL COLONO</t>
  </si>
  <si>
    <t>FLORES</t>
  </si>
  <si>
    <t>FERRETERIA IGUANA VERDE</t>
  </si>
  <si>
    <t>maintenance</t>
  </si>
  <si>
    <t>Maxi Pali</t>
  </si>
  <si>
    <t>BM</t>
  </si>
  <si>
    <t xml:space="preserve">FLIGHTS </t>
  </si>
  <si>
    <t>DAILY EXPE</t>
  </si>
  <si>
    <t>WALMART</t>
  </si>
  <si>
    <t xml:space="preserve">RENTAL CAR </t>
  </si>
  <si>
    <t>TRAVEL EXP</t>
  </si>
  <si>
    <t>Pequeno Mundo</t>
  </si>
  <si>
    <t>Comision</t>
  </si>
  <si>
    <t>Booking</t>
  </si>
  <si>
    <t>BREAKFAST</t>
  </si>
  <si>
    <t>unique</t>
  </si>
  <si>
    <t>variance</t>
  </si>
  <si>
    <t xml:space="preserve">DEPRECIACION </t>
  </si>
  <si>
    <t>Comision del Datafono</t>
  </si>
  <si>
    <t>Comision por transaccion</t>
  </si>
  <si>
    <t>Total Operating Costs​</t>
  </si>
  <si>
    <t>NELSON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</si>
</sst>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&quot;$&quot;#,##0.00_);[Red]\(&quot;$&quot;#,##0.00\)"/>
  </numFmts>
  <fonts count="38">
    <font>
      <sz val="11.0"/>
      <color theme="1"/>
      <name val="Palatino Linotype"/>
      <scheme val="minor"/>
    </font>
    <font>
      <sz val="11.0"/>
      <color rgb="FF262626"/>
      <name val="Palatino Linotype"/>
    </font>
    <font>
      <b/>
      <sz val="36.0"/>
      <color rgb="FF262626"/>
      <name val="Palatino Linotype"/>
    </font>
    <font/>
    <font>
      <sz val="8.0"/>
      <color rgb="FF262626"/>
      <name val="Palatino Linotype"/>
    </font>
    <font>
      <sz val="28.0"/>
      <color rgb="FF262626"/>
      <name val="Corbel"/>
    </font>
    <font>
      <sz val="18.0"/>
      <color rgb="FF0C0C0C"/>
      <name val="Corbel"/>
    </font>
    <font>
      <b/>
      <sz val="36.0"/>
      <color theme="1"/>
      <name val="Palatino Linotype"/>
    </font>
    <font>
      <sz val="36.0"/>
      <color rgb="FF262626"/>
      <name val="Palatino Linotype"/>
    </font>
    <font>
      <b/>
      <sz val="48.0"/>
      <color theme="1"/>
      <name val="Corbel"/>
    </font>
    <font>
      <sz val="28.0"/>
      <color rgb="FF262626"/>
      <name val="Palatino Linotype"/>
    </font>
    <font>
      <sz val="48.0"/>
      <color theme="1"/>
      <name val="Palatino Linotype"/>
    </font>
    <font>
      <b/>
      <sz val="28.0"/>
      <color rgb="FF524441"/>
      <name val="Corbel"/>
    </font>
    <font>
      <b/>
      <sz val="12.0"/>
      <color rgb="FF262626"/>
      <name val="David"/>
    </font>
    <font>
      <sz val="12.0"/>
      <color rgb="FF262626"/>
      <name val="Corbel"/>
    </font>
    <font>
      <b/>
      <sz val="12.0"/>
      <color theme="1"/>
      <name val="David"/>
    </font>
    <font>
      <b/>
      <sz val="28.0"/>
      <color rgb="FF001C0D"/>
      <name val="Palatino Linotype"/>
    </font>
    <font>
      <b/>
      <sz val="12.0"/>
      <color theme="1"/>
      <name val="Corbel"/>
    </font>
    <font>
      <b/>
      <sz val="12.0"/>
      <color rgb="FF262626"/>
      <name val="Palatino Linotype"/>
    </font>
    <font>
      <sz val="12.0"/>
      <color rgb="FF262626"/>
      <name val="Palatino Linotype"/>
    </font>
    <font>
      <sz val="11.0"/>
      <color theme="1"/>
      <name val="Palatino Linotype"/>
    </font>
    <font>
      <b/>
      <sz val="12.0"/>
      <color theme="1"/>
      <name val="Palatino Linotype"/>
    </font>
    <font>
      <sz val="12.0"/>
      <color theme="1"/>
      <name val="Palatino Linotype"/>
    </font>
    <font>
      <sz val="14.0"/>
      <color rgb="FF262626"/>
      <name val="Palatino Linotype"/>
    </font>
    <font>
      <sz val="14.0"/>
      <color theme="1"/>
      <name val="Palatino Linotype"/>
      <scheme val="minor"/>
    </font>
    <font>
      <sz val="14.0"/>
      <color theme="1"/>
      <name val="Palatino Linotype"/>
    </font>
    <font>
      <sz val="14.0"/>
      <color rgb="FFFF0000"/>
      <name val="Palatino Linotype"/>
    </font>
    <font>
      <sz val="14.0"/>
      <color rgb="FF000000"/>
      <name val="Palatino Linotype"/>
    </font>
    <font>
      <sz val="12.0"/>
      <color rgb="FFFF0000"/>
      <name val="Palatino Linotype"/>
    </font>
    <font>
      <sz val="13.0"/>
      <color theme="1"/>
      <name val="Corbel"/>
    </font>
    <font>
      <sz val="10.0"/>
      <color theme="1"/>
      <name val="Arial"/>
    </font>
    <font>
      <b/>
      <sz val="10.0"/>
      <color theme="1"/>
      <name val="Arial"/>
    </font>
    <font>
      <sz val="12.0"/>
      <color rgb="FF000000"/>
      <name val="Palatino Linotype"/>
    </font>
    <font>
      <b/>
      <sz val="13.0"/>
      <color theme="1"/>
      <name val="Corbel"/>
    </font>
    <font>
      <b/>
      <sz val="11.0"/>
      <color theme="1"/>
      <name val="Palatino Linotype"/>
    </font>
    <font>
      <b/>
      <sz val="12.0"/>
      <color rgb="FF000000"/>
      <name val="&quot;Palatino Linotype&quot;"/>
    </font>
    <font>
      <b/>
      <sz val="12.0"/>
      <color rgb="FF3F3F3F"/>
      <name val="Palatino Linotype"/>
    </font>
    <font>
      <b/>
      <sz val="11.0"/>
      <color rgb="FF262626"/>
      <name val="Palatino Linotype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ED15F"/>
        <bgColor rgb="FFFED15F"/>
      </patternFill>
    </fill>
    <fill>
      <patternFill patternType="solid">
        <fgColor rgb="FFFFE094"/>
        <bgColor rgb="FFFFE094"/>
      </patternFill>
    </fill>
    <fill>
      <patternFill patternType="solid">
        <fgColor rgb="FFF4CBC2"/>
        <bgColor rgb="FFF4CBC2"/>
      </patternFill>
    </fill>
    <fill>
      <patternFill patternType="solid">
        <fgColor rgb="FFF7DCD6"/>
        <bgColor rgb="FFF7DCD6"/>
      </patternFill>
    </fill>
    <fill>
      <patternFill patternType="solid">
        <fgColor rgb="FFFAE0DE"/>
        <bgColor rgb="FFFAE0DE"/>
      </patternFill>
    </fill>
    <fill>
      <patternFill patternType="solid">
        <fgColor rgb="FFD8D8D8"/>
        <bgColor rgb="FFD8D8D8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ck">
        <color rgb="FF000000"/>
      </bottom>
    </border>
    <border>
      <left/>
      <top style="thick">
        <color rgb="FF000000"/>
      </top>
    </border>
    <border>
      <right/>
      <top style="thick">
        <color rgb="FF000000"/>
      </top>
    </border>
    <border>
      <left/>
      <bottom style="thick">
        <color rgb="FF000000"/>
      </bottom>
    </border>
    <border>
      <right/>
      <bottom style="thick">
        <color rgb="FF000000"/>
      </bottom>
    </border>
    <border>
      <left/>
      <right style="thin">
        <color rgb="FFF2F2F2"/>
      </right>
      <top/>
      <bottom style="thin">
        <color theme="0"/>
      </bottom>
    </border>
    <border>
      <left style="thin">
        <color rgb="FFF2F2F2"/>
      </left>
      <right style="thin">
        <color rgb="FFF2F2F2"/>
      </right>
      <top/>
      <bottom style="thin">
        <color theme="0"/>
      </bottom>
    </border>
    <border>
      <left/>
      <right/>
      <top/>
      <bottom style="thin">
        <color theme="0"/>
      </bottom>
    </border>
    <border>
      <left/>
      <right style="thin">
        <color rgb="FFF2F2F2"/>
      </right>
      <top/>
      <bottom/>
    </border>
    <border>
      <left/>
      <right style="thin">
        <color rgb="FFF2F2F2"/>
      </right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theme="0"/>
      </bottom>
    </border>
    <border>
      <left style="thin">
        <color rgb="FFF2F2F2"/>
      </left>
      <right style="thin">
        <color rgb="FFF2F2F2"/>
      </right>
      <top/>
      <bottom/>
    </border>
    <border>
      <left style="thin">
        <color rgb="FFF2F2F2"/>
      </left>
      <right style="thin">
        <color rgb="FFF2F2F2"/>
      </right>
    </border>
    <border>
      <right style="thin">
        <color rgb="FFFBEDEA"/>
      </right>
    </border>
    <border>
      <right style="thin">
        <color rgb="FFF2F2F2"/>
      </right>
    </border>
    <border>
      <left style="thin">
        <color rgb="FFFBEDEA"/>
      </left>
      <right style="thin">
        <color rgb="FFFBEDEA"/>
      </right>
    </border>
    <border>
      <left style="thin">
        <color rgb="FFFBEDEA"/>
      </left>
      <right style="thin">
        <color rgb="FFF2F2F2"/>
      </right>
    </border>
    <border>
      <left style="thin">
        <color rgb="FFF2F2F2"/>
      </left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0"/>
      </top>
      <bottom/>
    </border>
    <border>
      <left/>
      <right/>
      <bottom/>
    </border>
    <border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2" fontId="1" numFmtId="164" xfId="0" applyAlignment="1" applyBorder="1" applyFill="1" applyFont="1" applyNumberFormat="1">
      <alignment horizontal="left" vertical="center"/>
    </xf>
    <xf borderId="1" fillId="3" fontId="1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1" fillId="4" fontId="1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vertical="center"/>
    </xf>
    <xf borderId="1" fillId="2" fontId="6" numFmtId="0" xfId="0" applyBorder="1" applyFill="1" applyFont="1"/>
    <xf borderId="5" fillId="4" fontId="7" numFmtId="0" xfId="0" applyAlignment="1" applyBorder="1" applyFill="1" applyFont="1">
      <alignment horizontal="left" vertical="center"/>
    </xf>
    <xf borderId="1" fillId="2" fontId="5" numFmtId="164" xfId="0" applyAlignment="1" applyBorder="1" applyFill="1" applyFont="1" applyNumberFormat="1">
      <alignment horizontal="center" vertical="center"/>
    </xf>
    <xf borderId="5" fillId="4" fontId="8" numFmtId="165" xfId="0" applyAlignment="1" applyBorder="1" applyFill="1" applyFont="1" applyNumberFormat="1">
      <alignment vertical="center"/>
    </xf>
    <xf borderId="1" fillId="2" fontId="5" numFmtId="164" xfId="0" applyAlignment="1" applyBorder="1" applyFill="1" applyFont="1" applyNumberFormat="1">
      <alignment vertical="center"/>
    </xf>
    <xf borderId="1" fillId="4" fontId="1" numFmtId="164" xfId="0" applyAlignment="1" applyBorder="1" applyFill="1" applyFont="1" applyNumberFormat="1">
      <alignment horizontal="left" vertical="center"/>
    </xf>
    <xf borderId="1" fillId="3" fontId="5" numFmtId="164" xfId="0" applyAlignment="1" applyBorder="1" applyFill="1" applyFont="1" applyNumberFormat="1">
      <alignment vertical="center"/>
    </xf>
    <xf borderId="1" fillId="3" fontId="5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5" fillId="2" fontId="5" numFmtId="0" xfId="0" applyAlignment="1" applyBorder="1" applyFill="1" applyFont="1">
      <alignment vertical="center"/>
    </xf>
    <xf borderId="5" fillId="2" fontId="9" numFmtId="0" xfId="0" applyAlignment="1" applyBorder="1" applyFill="1" applyFont="1">
      <alignment horizontal="center" vertical="center"/>
    </xf>
    <xf borderId="5" fillId="2" fontId="5" numFmtId="164" xfId="0" applyAlignment="1" applyBorder="1" applyFill="1" applyFont="1" applyNumberFormat="1">
      <alignment horizontal="center" vertical="center"/>
    </xf>
    <xf borderId="5" fillId="2" fontId="9" numFmtId="0" xfId="0" applyAlignment="1" applyBorder="1" applyFill="1" applyFont="1">
      <alignment horizontal="center" readingOrder="0" vertical="center"/>
    </xf>
    <xf borderId="5" fillId="2" fontId="5" numFmtId="164" xfId="0" applyAlignment="1" applyBorder="1" applyFill="1" applyFont="1" applyNumberFormat="1">
      <alignment vertical="center"/>
    </xf>
    <xf borderId="1" fillId="4" fontId="10" numFmtId="0" xfId="0" applyAlignment="1" applyBorder="1" applyFill="1" applyFont="1">
      <alignment vertical="center"/>
    </xf>
    <xf borderId="5" fillId="3" fontId="5" numFmtId="164" xfId="0" applyAlignment="1" applyBorder="1" applyFill="1" applyFont="1" applyNumberFormat="1">
      <alignment vertical="center"/>
    </xf>
    <xf borderId="6" fillId="4" fontId="11" numFmtId="0" xfId="0" applyAlignment="1" applyBorder="1" applyFill="1" applyFont="1">
      <alignment horizontal="center" readingOrder="0"/>
    </xf>
    <xf borderId="6" fillId="4" fontId="11" numFmtId="0" xfId="0" applyAlignment="1" applyBorder="1" applyFill="1" applyFont="1">
      <alignment horizontal="center"/>
    </xf>
    <xf borderId="7" fillId="0" fontId="3" numFmtId="0" xfId="0" applyBorder="1" applyFont="1"/>
    <xf borderId="1" fillId="2" fontId="12" numFmtId="0" xfId="0" applyAlignment="1" applyBorder="1" applyFill="1" applyFont="1">
      <alignment vertical="center"/>
    </xf>
    <xf borderId="1" fillId="4" fontId="10" numFmtId="165" xfId="0" applyAlignment="1" applyBorder="1" applyFill="1" applyFont="1" applyNumberFormat="1">
      <alignment vertical="center"/>
    </xf>
    <xf borderId="1" fillId="4" fontId="10" numFmtId="164" xfId="0" applyAlignment="1" applyBorder="1" applyFill="1" applyFont="1" applyNumberFormat="1">
      <alignment vertical="center"/>
    </xf>
    <xf borderId="1" fillId="3" fontId="10" numFmtId="164" xfId="0" applyAlignment="1" applyBorder="1" applyFill="1" applyFont="1" applyNumberFormat="1">
      <alignment vertical="center"/>
    </xf>
    <xf borderId="1" fillId="3" fontId="10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3" fontId="13" numFmtId="0" xfId="0" applyAlignment="1" applyBorder="1" applyFill="1" applyFont="1">
      <alignment horizontal="left" vertical="center"/>
    </xf>
    <xf borderId="1" fillId="3" fontId="1" numFmtId="164" xfId="0" applyAlignment="1" applyBorder="1" applyFill="1" applyFont="1" applyNumberFormat="1">
      <alignment horizontal="center" vertical="center"/>
    </xf>
    <xf borderId="5" fillId="4" fontId="8" numFmtId="0" xfId="0" applyAlignment="1" applyBorder="1" applyFill="1" applyFont="1">
      <alignment vertical="center"/>
    </xf>
    <xf borderId="8" fillId="0" fontId="3" numFmtId="0" xfId="0" applyBorder="1" applyFont="1"/>
    <xf borderId="1" fillId="3" fontId="1" numFmtId="4" xfId="0" applyAlignment="1" applyBorder="1" applyFill="1" applyFont="1" applyNumberFormat="1">
      <alignment horizontal="left" vertical="center"/>
    </xf>
    <xf borderId="9" fillId="0" fontId="3" numFmtId="0" xfId="0" applyBorder="1" applyFont="1"/>
    <xf borderId="5" fillId="4" fontId="8" numFmtId="164" xfId="0" applyAlignment="1" applyBorder="1" applyFill="1" applyFont="1" applyNumberFormat="1">
      <alignment vertical="center"/>
    </xf>
    <xf borderId="1" fillId="3" fontId="1" numFmtId="0" xfId="0" applyAlignment="1" applyBorder="1" applyFill="1" applyFont="1">
      <alignment horizontal="left" vertical="center"/>
    </xf>
    <xf borderId="5" fillId="3" fontId="8" numFmtId="164" xfId="0" applyAlignment="1" applyBorder="1" applyFill="1" applyFont="1" applyNumberFormat="1">
      <alignment vertical="center"/>
    </xf>
    <xf borderId="1" fillId="3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1" fillId="3" fontId="14" numFmtId="0" xfId="0" applyAlignment="1" applyBorder="1" applyFill="1" applyFont="1">
      <alignment horizontal="center" vertical="center"/>
    </xf>
    <xf borderId="10" fillId="5" fontId="15" numFmtId="0" xfId="0" applyAlignment="1" applyBorder="1" applyFill="1" applyFont="1">
      <alignment horizontal="left" vertical="center"/>
    </xf>
    <xf borderId="1" fillId="4" fontId="16" numFmtId="0" xfId="0" applyAlignment="1" applyBorder="1" applyFill="1" applyFont="1">
      <alignment horizontal="left" vertical="top"/>
    </xf>
    <xf borderId="11" fillId="5" fontId="17" numFmtId="164" xfId="0" applyAlignment="1" applyBorder="1" applyFill="1" applyFont="1" applyNumberFormat="1">
      <alignment horizontal="center" vertical="center"/>
    </xf>
    <xf borderId="10" fillId="5" fontId="17" numFmtId="164" xfId="0" applyAlignment="1" applyBorder="1" applyFill="1" applyFont="1" applyNumberFormat="1">
      <alignment horizontal="center" vertical="center"/>
    </xf>
    <xf borderId="12" fillId="5" fontId="17" numFmtId="164" xfId="0" applyAlignment="1" applyBorder="1" applyFill="1" applyFont="1" applyNumberFormat="1">
      <alignment horizontal="center" vertical="center"/>
    </xf>
    <xf borderId="1" fillId="3" fontId="18" numFmtId="0" xfId="0" applyAlignment="1" applyBorder="1" applyFill="1" applyFont="1">
      <alignment horizontal="left" vertical="center"/>
    </xf>
    <xf borderId="0" fillId="0" fontId="14" numFmtId="0" xfId="0" applyAlignment="1" applyFont="1">
      <alignment horizontal="center" vertical="center"/>
    </xf>
    <xf borderId="1" fillId="3" fontId="19" numFmtId="165" xfId="0" applyAlignment="1" applyBorder="1" applyFill="1" applyFont="1" applyNumberFormat="1">
      <alignment horizontal="left" vertical="center"/>
    </xf>
    <xf borderId="1" fillId="3" fontId="19" numFmtId="164" xfId="0" applyAlignment="1" applyBorder="1" applyFill="1" applyFont="1" applyNumberFormat="1">
      <alignment horizontal="left" vertical="center"/>
    </xf>
    <xf borderId="1" fillId="3" fontId="20" numFmtId="0" xfId="0" applyAlignment="1" applyBorder="1" applyFill="1" applyFont="1">
      <alignment horizontal="center" vertical="center"/>
    </xf>
    <xf borderId="13" fillId="3" fontId="19" numFmtId="164" xfId="0" applyAlignment="1" applyBorder="1" applyFill="1" applyFont="1" applyNumberFormat="1">
      <alignment horizontal="left" vertical="center"/>
    </xf>
    <xf borderId="14" fillId="6" fontId="15" numFmtId="0" xfId="0" applyAlignment="1" applyBorder="1" applyFill="1" applyFont="1">
      <alignment horizontal="left" vertical="center"/>
    </xf>
    <xf borderId="15" fillId="6" fontId="20" numFmtId="164" xfId="0" applyAlignment="1" applyBorder="1" applyFill="1" applyFont="1" applyNumberFormat="1">
      <alignment horizontal="center" vertical="center"/>
    </xf>
    <xf borderId="15" fillId="6" fontId="20" numFmtId="164" xfId="0" applyAlignment="1" applyBorder="1" applyFill="1" applyFont="1" applyNumberFormat="1">
      <alignment horizontal="left" vertical="center"/>
    </xf>
    <xf borderId="14" fillId="6" fontId="20" numFmtId="164" xfId="0" applyAlignment="1" applyBorder="1" applyFill="1" applyFont="1" applyNumberFormat="1">
      <alignment horizontal="left" vertical="center"/>
    </xf>
    <xf borderId="1" fillId="3" fontId="19" numFmtId="0" xfId="0" applyAlignment="1" applyBorder="1" applyFill="1" applyFont="1">
      <alignment horizontal="center" vertical="center"/>
    </xf>
    <xf borderId="10" fillId="7" fontId="21" numFmtId="0" xfId="0" applyAlignment="1" applyBorder="1" applyFill="1" applyFont="1">
      <alignment horizontal="left" vertical="center"/>
    </xf>
    <xf borderId="11" fillId="7" fontId="21" numFmtId="165" xfId="0" applyAlignment="1" applyBorder="1" applyFill="1" applyFont="1" applyNumberFormat="1">
      <alignment horizontal="center" vertical="center"/>
    </xf>
    <xf borderId="12" fillId="7" fontId="21" numFmtId="165" xfId="0" applyAlignment="1" applyBorder="1" applyFill="1" applyFont="1" applyNumberFormat="1">
      <alignment horizontal="center" vertical="center"/>
    </xf>
    <xf borderId="16" fillId="7" fontId="21" numFmtId="164" xfId="0" applyAlignment="1" applyBorder="1" applyFill="1" applyFont="1" applyNumberFormat="1">
      <alignment horizontal="center" vertical="center"/>
    </xf>
    <xf borderId="10" fillId="7" fontId="21" numFmtId="164" xfId="0" applyAlignment="1" applyBorder="1" applyFill="1" applyFont="1" applyNumberFormat="1">
      <alignment horizontal="center" vertical="center"/>
    </xf>
    <xf borderId="17" fillId="6" fontId="20" numFmtId="164" xfId="0" applyAlignment="1" applyBorder="1" applyFill="1" applyFont="1" applyNumberFormat="1">
      <alignment horizontal="left" vertical="center"/>
    </xf>
    <xf borderId="1" fillId="3" fontId="20" numFmtId="0" xfId="0" applyAlignment="1" applyBorder="1" applyFill="1" applyFont="1">
      <alignment horizontal="left" vertical="center"/>
    </xf>
    <xf borderId="12" fillId="7" fontId="21" numFmtId="164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horizontal="left" vertical="center"/>
    </xf>
    <xf borderId="18" fillId="7" fontId="21" numFmtId="164" xfId="0" applyAlignment="1" applyBorder="1" applyFill="1" applyFont="1" applyNumberFormat="1">
      <alignment horizontal="center" vertical="center"/>
    </xf>
    <xf borderId="11" fillId="7" fontId="21" numFmtId="164" xfId="0" applyAlignment="1" applyBorder="1" applyFill="1" applyFont="1" applyNumberFormat="1">
      <alignment horizontal="center" vertical="center"/>
    </xf>
    <xf borderId="13" fillId="3" fontId="13" numFmtId="0" xfId="0" applyAlignment="1" applyBorder="1" applyFill="1" applyFont="1">
      <alignment horizontal="left" vertical="center"/>
    </xf>
    <xf borderId="19" fillId="3" fontId="1" numFmtId="164" xfId="0" applyAlignment="1" applyBorder="1" applyFill="1" applyFont="1" applyNumberFormat="1">
      <alignment horizontal="center" vertical="center"/>
    </xf>
    <xf borderId="19" fillId="3" fontId="1" numFmtId="164" xfId="0" applyAlignment="1" applyBorder="1" applyFill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13" fillId="3" fontId="1" numFmtId="164" xfId="0" applyAlignment="1" applyBorder="1" applyFill="1" applyFont="1" applyNumberFormat="1">
      <alignment horizontal="left" vertical="center"/>
    </xf>
    <xf borderId="0" fillId="0" fontId="21" numFmtId="0" xfId="0" applyAlignment="1" applyFont="1">
      <alignment horizontal="left" vertical="center"/>
    </xf>
    <xf borderId="0" fillId="0" fontId="22" numFmtId="165" xfId="0" applyAlignment="1" applyFont="1" applyNumberFormat="1">
      <alignment horizontal="left" vertical="center"/>
    </xf>
    <xf borderId="0" fillId="0" fontId="22" numFmtId="0" xfId="0" applyFont="1"/>
    <xf borderId="0" fillId="0" fontId="15" numFmtId="166" xfId="0" applyFont="1" applyNumberFormat="1"/>
    <xf borderId="14" fillId="8" fontId="21" numFmtId="0" xfId="0" applyAlignment="1" applyBorder="1" applyFill="1" applyFont="1">
      <alignment horizontal="left" vertical="center"/>
    </xf>
    <xf borderId="1" fillId="9" fontId="22" numFmtId="0" xfId="0" applyAlignment="1" applyBorder="1" applyFill="1" applyFont="1">
      <alignment horizontal="center" vertical="center"/>
    </xf>
    <xf borderId="20" fillId="0" fontId="23" numFmtId="164" xfId="0" applyAlignment="1" applyBorder="1" applyFont="1" applyNumberFormat="1">
      <alignment horizontal="center" readingOrder="0" vertical="center"/>
    </xf>
    <xf borderId="21" fillId="0" fontId="18" numFmtId="164" xfId="0" applyAlignment="1" applyBorder="1" applyFont="1" applyNumberFormat="1">
      <alignment horizontal="left" vertical="center"/>
    </xf>
    <xf borderId="20" fillId="0" fontId="19" numFmtId="165" xfId="0" applyAlignment="1" applyBorder="1" applyFont="1" applyNumberFormat="1">
      <alignment horizontal="left" readingOrder="0" vertical="center"/>
    </xf>
    <xf borderId="21" fillId="0" fontId="19" numFmtId="165" xfId="0" applyAlignment="1" applyBorder="1" applyFont="1" applyNumberFormat="1">
      <alignment horizontal="left" readingOrder="0" vertical="center"/>
    </xf>
    <xf borderId="21" fillId="10" fontId="19" numFmtId="165" xfId="0" applyBorder="1" applyFill="1" applyFont="1" applyNumberFormat="1"/>
    <xf borderId="20" fillId="0" fontId="19" numFmtId="165" xfId="0" applyAlignment="1" applyBorder="1" applyFont="1" applyNumberFormat="1">
      <alignment horizontal="left" vertical="center"/>
    </xf>
    <xf borderId="22" fillId="0" fontId="19" numFmtId="165" xfId="0" applyAlignment="1" applyBorder="1" applyFont="1" applyNumberFormat="1">
      <alignment horizontal="left" vertical="center"/>
    </xf>
    <xf borderId="0" fillId="0" fontId="22" numFmtId="164" xfId="0" applyAlignment="1" applyFont="1" applyNumberFormat="1">
      <alignment readingOrder="0"/>
    </xf>
    <xf borderId="0" fillId="0" fontId="19" numFmtId="165" xfId="0" applyAlignment="1" applyFont="1" applyNumberFormat="1">
      <alignment horizontal="left" vertical="center"/>
    </xf>
    <xf borderId="20" fillId="0" fontId="23" numFmtId="164" xfId="0" applyAlignment="1" applyBorder="1" applyFont="1" applyNumberFormat="1">
      <alignment horizontal="center" vertical="center"/>
    </xf>
    <xf borderId="0" fillId="0" fontId="24" numFmtId="164" xfId="0" applyAlignment="1" applyFont="1" applyNumberFormat="1">
      <alignment readingOrder="0"/>
    </xf>
    <xf borderId="21" fillId="3" fontId="19" numFmtId="165" xfId="0" applyBorder="1" applyFill="1" applyFont="1" applyNumberFormat="1"/>
    <xf borderId="20" fillId="0" fontId="23" numFmtId="165" xfId="0" applyAlignment="1" applyBorder="1" applyFont="1" applyNumberFormat="1">
      <alignment horizontal="center" vertical="center"/>
    </xf>
    <xf borderId="20" fillId="0" fontId="23" numFmtId="165" xfId="0" applyAlignment="1" applyBorder="1" applyFont="1" applyNumberFormat="1">
      <alignment horizontal="left" vertical="center"/>
    </xf>
    <xf borderId="0" fillId="0" fontId="22" numFmtId="164" xfId="0" applyAlignment="1" applyFont="1" applyNumberFormat="1">
      <alignment readingOrder="0"/>
    </xf>
    <xf borderId="22" fillId="0" fontId="23" numFmtId="165" xfId="0" applyAlignment="1" applyBorder="1" applyFont="1" applyNumberFormat="1">
      <alignment horizontal="left" vertical="center"/>
    </xf>
    <xf borderId="21" fillId="0" fontId="19" numFmtId="165" xfId="0" applyAlignment="1" applyBorder="1" applyFont="1" applyNumberFormat="1">
      <alignment horizontal="left" vertical="center"/>
    </xf>
    <xf borderId="23" fillId="0" fontId="19" numFmtId="165" xfId="0" applyAlignment="1" applyBorder="1" applyFont="1" applyNumberFormat="1">
      <alignment horizontal="left" vertical="center"/>
    </xf>
    <xf borderId="20" fillId="0" fontId="23" numFmtId="165" xfId="0" applyAlignment="1" applyBorder="1" applyFont="1" applyNumberFormat="1">
      <alignment horizontal="left" readingOrder="0" vertical="center"/>
    </xf>
    <xf borderId="24" fillId="0" fontId="19" numFmtId="165" xfId="0" applyAlignment="1" applyBorder="1" applyFont="1" applyNumberFormat="1">
      <alignment horizontal="left" vertical="center"/>
    </xf>
    <xf borderId="0" fillId="0" fontId="23" numFmtId="165" xfId="0" applyAlignment="1" applyFont="1" applyNumberFormat="1">
      <alignment horizontal="left" vertical="center"/>
    </xf>
    <xf borderId="19" fillId="3" fontId="25" numFmtId="164" xfId="0" applyAlignment="1" applyBorder="1" applyFill="1" applyFont="1" applyNumberFormat="1">
      <alignment horizontal="center" vertical="center"/>
    </xf>
    <xf borderId="19" fillId="3" fontId="23" numFmtId="164" xfId="0" applyAlignment="1" applyBorder="1" applyFill="1" applyFont="1" applyNumberFormat="1">
      <alignment horizontal="center" vertical="center"/>
    </xf>
    <xf borderId="14" fillId="8" fontId="21" numFmtId="0" xfId="0" applyAlignment="1" applyBorder="1" applyFill="1" applyFont="1">
      <alignment horizontal="left" vertical="center"/>
    </xf>
    <xf borderId="19" fillId="3" fontId="26" numFmtId="164" xfId="0" applyAlignment="1" applyBorder="1" applyFill="1" applyFont="1" applyNumberFormat="1">
      <alignment horizontal="center" vertical="center"/>
    </xf>
    <xf borderId="19" fillId="3" fontId="27" numFmtId="164" xfId="0" applyAlignment="1" applyBorder="1" applyFill="1" applyFont="1" applyNumberFormat="1">
      <alignment horizontal="center" vertical="center"/>
    </xf>
    <xf borderId="19" fillId="9" fontId="21" numFmtId="165" xfId="0" applyAlignment="1" applyBorder="1" applyFill="1" applyFont="1" applyNumberFormat="1">
      <alignment horizontal="left" vertical="center"/>
    </xf>
    <xf borderId="22" fillId="0" fontId="19" numFmtId="165" xfId="0" applyAlignment="1" applyBorder="1" applyFont="1" applyNumberFormat="1">
      <alignment horizontal="left" readingOrder="0" vertical="center"/>
    </xf>
    <xf borderId="15" fillId="8" fontId="21" numFmtId="165" xfId="0" applyAlignment="1" applyBorder="1" applyFill="1" applyFont="1" applyNumberFormat="1">
      <alignment horizontal="left" vertical="center"/>
    </xf>
    <xf borderId="15" fillId="6" fontId="25" numFmtId="164" xfId="0" applyAlignment="1" applyBorder="1" applyFill="1" applyFont="1" applyNumberFormat="1">
      <alignment horizontal="center" vertical="center"/>
    </xf>
    <xf borderId="21" fillId="0" fontId="19" numFmtId="165" xfId="0" applyAlignment="1" applyBorder="1" applyFont="1" applyNumberFormat="1">
      <alignment horizontal="left" readingOrder="0" vertical="center"/>
    </xf>
    <xf borderId="15" fillId="6" fontId="25" numFmtId="164" xfId="0" applyAlignment="1" applyBorder="1" applyFill="1" applyFont="1" applyNumberFormat="1">
      <alignment horizontal="left" vertical="center"/>
    </xf>
    <xf borderId="14" fillId="8" fontId="21" numFmtId="164" xfId="0" applyAlignment="1" applyBorder="1" applyFill="1" applyFont="1" applyNumberFormat="1">
      <alignment horizontal="left" vertical="center"/>
    </xf>
    <xf borderId="14" fillId="6" fontId="25" numFmtId="164" xfId="0" applyAlignment="1" applyBorder="1" applyFill="1" applyFont="1" applyNumberFormat="1">
      <alignment horizontal="left" vertical="center"/>
    </xf>
    <xf borderId="19" fillId="7" fontId="21" numFmtId="165" xfId="0" applyAlignment="1" applyBorder="1" applyFill="1" applyFont="1" applyNumberFormat="1">
      <alignment horizontal="left" vertical="center"/>
    </xf>
    <xf borderId="13" fillId="8" fontId="21" numFmtId="0" xfId="0" applyAlignment="1" applyBorder="1" applyFill="1" applyFont="1">
      <alignment horizontal="left" vertical="center"/>
    </xf>
    <xf borderId="1" fillId="0" fontId="22" numFmtId="0" xfId="0" applyAlignment="1" applyBorder="1" applyFont="1">
      <alignment horizontal="center" vertical="center"/>
    </xf>
    <xf borderId="19" fillId="3" fontId="23" numFmtId="164" xfId="0" applyAlignment="1" applyBorder="1" applyFill="1" applyFont="1" applyNumberFormat="1">
      <alignment horizontal="left" vertical="center"/>
    </xf>
    <xf borderId="1" fillId="9" fontId="22" numFmtId="164" xfId="0" applyAlignment="1" applyBorder="1" applyFill="1" applyFont="1" applyNumberFormat="1">
      <alignment horizontal="center" vertical="center"/>
    </xf>
    <xf borderId="13" fillId="3" fontId="23" numFmtId="164" xfId="0" applyAlignment="1" applyBorder="1" applyFill="1" applyFont="1" applyNumberFormat="1">
      <alignment horizontal="left" vertical="center"/>
    </xf>
    <xf borderId="0" fillId="0" fontId="21" numFmtId="0" xfId="0" applyAlignment="1" applyFont="1">
      <alignment horizontal="left" vertical="center"/>
    </xf>
    <xf borderId="20" fillId="0" fontId="19" numFmtId="165" xfId="0" applyAlignment="1" applyBorder="1" applyFont="1" applyNumberFormat="1">
      <alignment horizontal="left" readingOrder="0" vertical="center"/>
    </xf>
    <xf borderId="0" fillId="0" fontId="22" numFmtId="165" xfId="0" applyAlignment="1" applyFont="1" applyNumberFormat="1">
      <alignment horizontal="left" readingOrder="0" vertical="center"/>
    </xf>
    <xf borderId="0" fillId="0" fontId="15" numFmtId="0" xfId="0" applyFont="1"/>
    <xf borderId="20" fillId="0" fontId="23" numFmtId="9" xfId="0" applyAlignment="1" applyBorder="1" applyFont="1" applyNumberFormat="1">
      <alignment horizontal="center" vertical="center"/>
    </xf>
    <xf borderId="20" fillId="0" fontId="23" numFmtId="9" xfId="0" applyAlignment="1" applyBorder="1" applyFont="1" applyNumberFormat="1">
      <alignment horizontal="center" readingOrder="0" vertical="center"/>
    </xf>
    <xf borderId="0" fillId="0" fontId="22" numFmtId="165" xfId="0" applyAlignment="1" applyFont="1" applyNumberFormat="1">
      <alignment horizontal="left" vertical="center"/>
    </xf>
    <xf borderId="0" fillId="0" fontId="22" numFmtId="165" xfId="0" applyAlignment="1" applyFont="1" applyNumberFormat="1">
      <alignment horizontal="left" readingOrder="0" vertical="center"/>
    </xf>
    <xf borderId="0" fillId="0" fontId="23" numFmtId="10" xfId="0" applyAlignment="1" applyFont="1" applyNumberFormat="1">
      <alignment horizontal="left" readingOrder="0" vertical="center"/>
    </xf>
    <xf borderId="0" fillId="0" fontId="22" numFmtId="164" xfId="0" applyFont="1" applyNumberFormat="1"/>
    <xf borderId="22" fillId="0" fontId="18" numFmtId="0" xfId="0" applyAlignment="1" applyBorder="1" applyFont="1">
      <alignment horizontal="left" vertical="center"/>
    </xf>
    <xf borderId="20" fillId="0" fontId="23" numFmtId="164" xfId="0" applyAlignment="1" applyBorder="1" applyFont="1" applyNumberFormat="1">
      <alignment horizontal="left" readingOrder="0" vertical="center"/>
    </xf>
    <xf borderId="25" fillId="0" fontId="19" numFmtId="165" xfId="0" applyAlignment="1" applyBorder="1" applyFont="1" applyNumberFormat="1">
      <alignment horizontal="left" readingOrder="0" vertical="center"/>
    </xf>
    <xf borderId="20" fillId="0" fontId="22" numFmtId="165" xfId="0" applyAlignment="1" applyBorder="1" applyFont="1" applyNumberFormat="1">
      <alignment horizontal="left" readingOrder="0" vertical="center"/>
    </xf>
    <xf borderId="20" fillId="0" fontId="23" numFmtId="164" xfId="0" applyAlignment="1" applyBorder="1" applyFont="1" applyNumberFormat="1">
      <alignment horizontal="left" vertical="center"/>
    </xf>
    <xf borderId="20" fillId="0" fontId="1" numFmtId="164" xfId="0" applyAlignment="1" applyBorder="1" applyFont="1" applyNumberFormat="1">
      <alignment horizontal="left" vertical="center"/>
    </xf>
    <xf borderId="20" fillId="0" fontId="22" numFmtId="165" xfId="0" applyAlignment="1" applyBorder="1" applyFont="1" applyNumberFormat="1">
      <alignment horizontal="left" vertical="center"/>
    </xf>
    <xf borderId="22" fillId="0" fontId="23" numFmtId="164" xfId="0" applyAlignment="1" applyBorder="1" applyFont="1" applyNumberFormat="1">
      <alignment horizontal="left" vertical="center"/>
    </xf>
    <xf borderId="23" fillId="0" fontId="22" numFmtId="165" xfId="0" applyAlignment="1" applyBorder="1" applyFont="1" applyNumberFormat="1">
      <alignment horizontal="left" readingOrder="0" vertical="center"/>
    </xf>
    <xf borderId="25" fillId="0" fontId="22" numFmtId="165" xfId="0" applyAlignment="1" applyBorder="1" applyFont="1" applyNumberFormat="1">
      <alignment horizontal="left" readingOrder="0" vertical="center"/>
    </xf>
    <xf borderId="22" fillId="0" fontId="22" numFmtId="165" xfId="0" applyAlignment="1" applyBorder="1" applyFont="1" applyNumberFormat="1">
      <alignment horizontal="left" readingOrder="0" vertical="center"/>
    </xf>
    <xf borderId="22" fillId="0" fontId="22" numFmtId="165" xfId="0" applyAlignment="1" applyBorder="1" applyFont="1" applyNumberFormat="1">
      <alignment horizontal="left" vertical="center"/>
    </xf>
    <xf borderId="0" fillId="0" fontId="28" numFmtId="164" xfId="0" applyAlignment="1" applyFont="1" applyNumberFormat="1">
      <alignment readingOrder="0"/>
    </xf>
    <xf borderId="24" fillId="0" fontId="22" numFmtId="165" xfId="0" applyAlignment="1" applyBorder="1" applyFont="1" applyNumberFormat="1">
      <alignment horizontal="left" readingOrder="0" vertical="center"/>
    </xf>
    <xf borderId="25" fillId="0" fontId="19" numFmtId="165" xfId="0" applyAlignment="1" applyBorder="1" applyFont="1" applyNumberFormat="1">
      <alignment horizontal="left" vertical="center"/>
    </xf>
    <xf borderId="21" fillId="0" fontId="22" numFmtId="165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14" fillId="6" fontId="29" numFmtId="0" xfId="0" applyAlignment="1" applyBorder="1" applyFill="1" applyFont="1">
      <alignment horizontal="left" vertical="center"/>
    </xf>
    <xf borderId="13" fillId="3" fontId="1" numFmtId="0" xfId="0" applyAlignment="1" applyBorder="1" applyFill="1" applyFont="1">
      <alignment horizontal="left" vertical="center"/>
    </xf>
    <xf borderId="20" fillId="0" fontId="22" numFmtId="165" xfId="0" applyAlignment="1" applyBorder="1" applyFont="1" applyNumberFormat="1">
      <alignment horizontal="left" vertical="center"/>
    </xf>
    <xf borderId="20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left" vertical="center"/>
    </xf>
    <xf borderId="22" fillId="0" fontId="1" numFmtId="165" xfId="0" applyAlignment="1" applyBorder="1" applyFont="1" applyNumberFormat="1">
      <alignment horizontal="left" vertical="center"/>
    </xf>
    <xf borderId="23" fillId="0" fontId="22" numFmtId="165" xfId="0" applyAlignment="1" applyBorder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25" fillId="0" fontId="22" numFmtId="165" xfId="0" applyAlignment="1" applyBorder="1" applyFont="1" applyNumberFormat="1">
      <alignment horizontal="left" vertical="center"/>
    </xf>
    <xf borderId="22" fillId="0" fontId="1" numFmtId="0" xfId="0" applyAlignment="1" applyBorder="1" applyFont="1">
      <alignment horizontal="left" vertical="center"/>
    </xf>
    <xf borderId="0" fillId="0" fontId="30" numFmtId="166" xfId="0" applyFont="1" applyNumberFormat="1"/>
    <xf borderId="0" fillId="0" fontId="31" numFmtId="166" xfId="0" applyFont="1" applyNumberFormat="1"/>
    <xf borderId="21" fillId="0" fontId="22" numFmtId="165" xfId="0" applyAlignment="1" applyBorder="1" applyFont="1" applyNumberFormat="1">
      <alignment horizontal="left" vertical="center"/>
    </xf>
    <xf borderId="20" fillId="0" fontId="1" numFmtId="164" xfId="0" applyAlignment="1" applyBorder="1" applyFont="1" applyNumberFormat="1">
      <alignment horizontal="center" vertical="center"/>
    </xf>
    <xf borderId="24" fillId="0" fontId="22" numFmtId="165" xfId="0" applyAlignment="1" applyBorder="1" applyFont="1" applyNumberFormat="1">
      <alignment horizontal="left" vertical="center"/>
    </xf>
    <xf borderId="22" fillId="0" fontId="1" numFmtId="164" xfId="0" applyAlignment="1" applyBorder="1" applyFont="1" applyNumberFormat="1">
      <alignment horizontal="left" vertical="center"/>
    </xf>
    <xf borderId="0" fillId="0" fontId="32" numFmtId="164" xfId="0" applyAlignment="1" applyFont="1" applyNumberFormat="1">
      <alignment readingOrder="0"/>
    </xf>
    <xf borderId="0" fillId="0" fontId="18" numFmtId="164" xfId="0" applyAlignment="1" applyFont="1" applyNumberFormat="1">
      <alignment horizontal="left" readingOrder="0" vertical="center"/>
    </xf>
    <xf borderId="0" fillId="0" fontId="19" numFmtId="165" xfId="0" applyAlignment="1" applyFont="1" applyNumberFormat="1">
      <alignment horizontal="left" readingOrder="0" vertical="center"/>
    </xf>
    <xf borderId="22" fillId="0" fontId="18" numFmtId="164" xfId="0" applyAlignment="1" applyBorder="1" applyFont="1" applyNumberFormat="1">
      <alignment horizontal="left" vertical="center"/>
    </xf>
    <xf borderId="21" fillId="0" fontId="19" numFmtId="165" xfId="0" applyAlignment="1" applyBorder="1" applyFont="1" applyNumberFormat="1">
      <alignment horizontal="left" vertical="center"/>
    </xf>
    <xf borderId="0" fillId="0" fontId="19" numFmtId="164" xfId="0" applyAlignment="1" applyFont="1" applyNumberFormat="1">
      <alignment horizontal="left" vertical="center"/>
    </xf>
    <xf borderId="22" fillId="0" fontId="18" numFmtId="164" xfId="0" applyAlignment="1" applyBorder="1" applyFont="1" applyNumberFormat="1">
      <alignment horizontal="left" readingOrder="0" vertical="center"/>
    </xf>
    <xf borderId="0" fillId="0" fontId="19" numFmtId="165" xfId="0" applyAlignment="1" applyFont="1" applyNumberFormat="1">
      <alignment horizontal="left" readingOrder="0" vertical="center"/>
    </xf>
    <xf borderId="13" fillId="5" fontId="33" numFmtId="0" xfId="0" applyAlignment="1" applyBorder="1" applyFill="1" applyFont="1">
      <alignment horizontal="left" vertical="center"/>
    </xf>
    <xf borderId="19" fillId="5" fontId="34" numFmtId="164" xfId="0" applyAlignment="1" applyBorder="1" applyFill="1" applyFont="1" applyNumberFormat="1">
      <alignment horizontal="center" vertical="center"/>
    </xf>
    <xf borderId="19" fillId="5" fontId="34" numFmtId="164" xfId="0" applyAlignment="1" applyBorder="1" applyFill="1" applyFont="1" applyNumberFormat="1">
      <alignment horizontal="left" vertical="center"/>
    </xf>
    <xf borderId="13" fillId="5" fontId="34" numFmtId="164" xfId="0" applyAlignment="1" applyBorder="1" applyFill="1" applyFont="1" applyNumberFormat="1">
      <alignment horizontal="left" vertical="center"/>
    </xf>
    <xf borderId="1" fillId="5" fontId="34" numFmtId="164" xfId="0" applyAlignment="1" applyBorder="1" applyFill="1" applyFont="1" applyNumberFormat="1">
      <alignment horizontal="left" vertical="center"/>
    </xf>
    <xf borderId="17" fillId="8" fontId="21" numFmtId="165" xfId="0" applyAlignment="1" applyBorder="1" applyFill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10" fontId="35" numFmtId="0" xfId="0" applyAlignment="1" applyFill="1" applyFont="1">
      <alignment horizontal="left" readingOrder="0" shrinkToFit="0" vertical="bottom" wrapText="0"/>
    </xf>
    <xf borderId="0" fillId="0" fontId="22" numFmtId="165" xfId="0" applyAlignment="1" applyFont="1" applyNumberFormat="1">
      <alignment readingOrder="0"/>
    </xf>
    <xf borderId="0" fillId="0" fontId="22" numFmtId="165" xfId="0" applyAlignment="1" applyFont="1" applyNumberFormat="1">
      <alignment readingOrder="0"/>
    </xf>
    <xf borderId="0" fillId="0" fontId="22" numFmtId="165" xfId="0" applyFont="1" applyNumberFormat="1"/>
    <xf borderId="0" fillId="3" fontId="1" numFmtId="0" xfId="0" applyAlignment="1" applyFill="1" applyFont="1">
      <alignment horizontal="left" vertical="center"/>
    </xf>
    <xf borderId="14" fillId="8" fontId="21" numFmtId="165" xfId="0" applyAlignment="1" applyBorder="1" applyFill="1" applyFont="1" applyNumberFormat="1">
      <alignment horizontal="left" vertical="center"/>
    </xf>
    <xf borderId="1" fillId="10" fontId="21" numFmtId="3" xfId="0" applyAlignment="1" applyBorder="1" applyFill="1" applyFont="1" applyNumberFormat="1">
      <alignment horizontal="left" readingOrder="0"/>
    </xf>
    <xf borderId="1" fillId="10" fontId="22" numFmtId="165" xfId="0" applyBorder="1" applyFill="1" applyFont="1" applyNumberFormat="1"/>
    <xf borderId="1" fillId="10" fontId="22" numFmtId="165" xfId="0" applyAlignment="1" applyBorder="1" applyFill="1" applyFont="1" applyNumberFormat="1">
      <alignment readingOrder="0"/>
    </xf>
    <xf borderId="1" fillId="3" fontId="18" numFmtId="164" xfId="0" applyAlignment="1" applyBorder="1" applyFill="1" applyFont="1" applyNumberFormat="1">
      <alignment horizontal="left" vertical="center"/>
    </xf>
    <xf borderId="1" fillId="3" fontId="19" numFmtId="165" xfId="0" applyAlignment="1" applyBorder="1" applyFill="1" applyFont="1" applyNumberFormat="1">
      <alignment horizontal="left" readingOrder="0" vertical="center"/>
    </xf>
    <xf borderId="1" fillId="10" fontId="18" numFmtId="164" xfId="0" applyAlignment="1" applyBorder="1" applyFill="1" applyFont="1" applyNumberFormat="1">
      <alignment horizontal="left" vertical="center"/>
    </xf>
    <xf borderId="1" fillId="10" fontId="19" numFmtId="165" xfId="0" applyAlignment="1" applyBorder="1" applyFill="1" applyFont="1" applyNumberFormat="1">
      <alignment horizontal="left" vertical="center"/>
    </xf>
    <xf borderId="26" fillId="3" fontId="18" numFmtId="164" xfId="0" applyAlignment="1" applyBorder="1" applyFill="1" applyFont="1" applyNumberFormat="1">
      <alignment horizontal="left" vertical="center"/>
    </xf>
    <xf borderId="26" fillId="3" fontId="19" numFmtId="165" xfId="0" applyAlignment="1" applyBorder="1" applyFill="1" applyFont="1" applyNumberFormat="1">
      <alignment horizontal="left" vertical="center"/>
    </xf>
    <xf borderId="0" fillId="0" fontId="22" numFmtId="164" xfId="0" applyFont="1" applyNumberFormat="1"/>
    <xf borderId="26" fillId="3" fontId="19" numFmtId="165" xfId="0" applyAlignment="1" applyBorder="1" applyFill="1" applyFont="1" applyNumberFormat="1">
      <alignment horizontal="left" readingOrder="0" vertical="center"/>
    </xf>
    <xf borderId="1" fillId="10" fontId="19" numFmtId="165" xfId="0" applyAlignment="1" applyBorder="1" applyFill="1" applyFont="1" applyNumberFormat="1">
      <alignment horizontal="left" readingOrder="0" vertical="center"/>
    </xf>
    <xf borderId="27" fillId="3" fontId="19" numFmtId="165" xfId="0" applyAlignment="1" applyBorder="1" applyFill="1" applyFont="1" applyNumberFormat="1">
      <alignment horizontal="left" vertical="center"/>
    </xf>
    <xf borderId="27" fillId="3" fontId="19" numFmtId="165" xfId="0" applyAlignment="1" applyBorder="1" applyFill="1" applyFont="1" applyNumberFormat="1">
      <alignment horizontal="left" readingOrder="0" vertical="center"/>
    </xf>
    <xf borderId="0" fillId="0" fontId="21" numFmtId="0" xfId="0" applyAlignment="1" applyFont="1">
      <alignment horizontal="left"/>
    </xf>
    <xf borderId="27" fillId="3" fontId="18" numFmtId="164" xfId="0" applyAlignment="1" applyBorder="1" applyFill="1" applyFont="1" applyNumberFormat="1">
      <alignment horizontal="left" vertical="center"/>
    </xf>
    <xf borderId="10" fillId="8" fontId="21" numFmtId="0" xfId="0" applyAlignment="1" applyBorder="1" applyFill="1" applyFont="1">
      <alignment horizontal="left" vertical="center"/>
    </xf>
    <xf borderId="11" fillId="8" fontId="21" numFmtId="165" xfId="0" applyAlignment="1" applyBorder="1" applyFill="1" applyFont="1" applyNumberFormat="1">
      <alignment horizontal="left" vertical="center"/>
    </xf>
    <xf borderId="10" fillId="8" fontId="21" numFmtId="165" xfId="0" applyAlignment="1" applyBorder="1" applyFill="1" applyFont="1" applyNumberFormat="1">
      <alignment horizontal="left" vertical="center"/>
    </xf>
    <xf borderId="12" fillId="8" fontId="21" numFmtId="165" xfId="0" applyAlignment="1" applyBorder="1" applyFill="1" applyFont="1" applyNumberFormat="1">
      <alignment horizontal="left" vertical="center"/>
    </xf>
    <xf borderId="28" fillId="10" fontId="18" numFmtId="164" xfId="0" applyAlignment="1" applyBorder="1" applyFill="1" applyFont="1" applyNumberFormat="1">
      <alignment horizontal="left" vertical="center"/>
    </xf>
    <xf borderId="29" fillId="3" fontId="36" numFmtId="0" xfId="0" applyAlignment="1" applyBorder="1" applyFill="1" applyFont="1">
      <alignment horizontal="left" readingOrder="0" vertical="center"/>
    </xf>
    <xf borderId="30" fillId="3" fontId="19" numFmtId="165" xfId="0" applyAlignment="1" applyBorder="1" applyFill="1" applyFont="1" applyNumberFormat="1">
      <alignment horizontal="left" vertical="center"/>
    </xf>
    <xf borderId="0" fillId="0" fontId="18" numFmtId="164" xfId="0" applyAlignment="1" applyFont="1" applyNumberFormat="1">
      <alignment horizontal="left" vertical="center"/>
    </xf>
    <xf borderId="1" fillId="3" fontId="36" numFmtId="0" xfId="0" applyAlignment="1" applyBorder="1" applyFill="1" applyFont="1">
      <alignment horizontal="left" vertical="center"/>
    </xf>
    <xf borderId="31" fillId="8" fontId="21" numFmtId="165" xfId="0" applyAlignment="1" applyBorder="1" applyFill="1" applyFont="1" applyNumberFormat="1">
      <alignment horizontal="left" vertical="center"/>
    </xf>
    <xf borderId="24" fillId="0" fontId="19" numFmtId="165" xfId="0" applyAlignment="1" applyBorder="1" applyFont="1" applyNumberFormat="1">
      <alignment horizontal="left" readingOrder="0" vertical="center"/>
    </xf>
    <xf borderId="0" fillId="0" fontId="20" numFmtId="0" xfId="0" applyFont="1"/>
    <xf borderId="22" fillId="0" fontId="19" numFmtId="165" xfId="0" applyAlignment="1" applyBorder="1" applyFont="1" applyNumberFormat="1">
      <alignment horizontal="left" readingOrder="0" vertical="center"/>
    </xf>
    <xf borderId="13" fillId="7" fontId="21" numFmtId="0" xfId="0" applyAlignment="1" applyBorder="1" applyFill="1" applyFont="1">
      <alignment horizontal="left" vertical="center"/>
    </xf>
    <xf borderId="1" fillId="10" fontId="21" numFmtId="3" xfId="0" applyAlignment="1" applyBorder="1" applyFill="1" applyFont="1" applyNumberFormat="1">
      <alignment horizontal="left"/>
    </xf>
    <xf borderId="22" fillId="0" fontId="37" numFmtId="0" xfId="0" applyAlignment="1" applyBorder="1" applyFont="1">
      <alignment horizontal="left" vertical="center"/>
    </xf>
    <xf borderId="0" fillId="0" fontId="37" numFmtId="0" xfId="0" applyAlignment="1" applyFont="1">
      <alignment horizontal="left" vertical="center"/>
    </xf>
    <xf borderId="28" fillId="10" fontId="19" numFmtId="164" xfId="0" applyAlignment="1" applyBorder="1" applyFill="1" applyFont="1" applyNumberForma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EE3CB"/>
          <bgColor rgb="FFCEE3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9">
    <tableStyle count="3" pivot="0" name="Expenses 2026-style">
      <tableStyleElement dxfId="1" type="headerRow"/>
      <tableStyleElement dxfId="2" type="firstRowStripe"/>
      <tableStyleElement dxfId="3" type="secondRowStripe"/>
    </tableStyle>
    <tableStyle count="3" pivot="0" name="Expenses 2025-style">
      <tableStyleElement dxfId="1" type="headerRow"/>
      <tableStyleElement dxfId="2" type="firstRowStripe"/>
      <tableStyleElement dxfId="3" type="secondRowStripe"/>
    </tableStyle>
    <tableStyle count="3" pivot="0" name="Expenses 2026-style 2">
      <tableStyleElement dxfId="1" type="headerRow"/>
      <tableStyleElement dxfId="2" type="firstRowStripe"/>
      <tableStyleElement dxfId="3" type="secondRowStripe"/>
    </tableStyle>
    <tableStyle count="3" pivot="0" name="Expenses 2025-style 2">
      <tableStyleElement dxfId="1" type="headerRow"/>
      <tableStyleElement dxfId="2" type="firstRowStripe"/>
      <tableStyleElement dxfId="3" type="secondRowStripe"/>
    </tableStyle>
    <tableStyle count="3" pivot="0" name="Expenses 2026-style 3">
      <tableStyleElement dxfId="1" type="headerRow"/>
      <tableStyleElement dxfId="2" type="firstRowStripe"/>
      <tableStyleElement dxfId="3" type="secondRowStripe"/>
    </tableStyle>
    <tableStyle count="3" pivot="0" name="Expenses 2025-style 3">
      <tableStyleElement dxfId="1" type="headerRow"/>
      <tableStyleElement dxfId="2" type="firstRowStripe"/>
      <tableStyleElement dxfId="3" type="secondRowStripe"/>
    </tableStyle>
    <tableStyle count="2" pivot="0" name="Expenses 2026-style 4">
      <tableStyleElement dxfId="2" type="firstRowStripe"/>
      <tableStyleElement dxfId="3" type="secondRowStripe"/>
    </tableStyle>
    <tableStyle count="3" pivot="0" name="Expenses 2026-style 5">
      <tableStyleElement dxfId="1" type="headerRow"/>
      <tableStyleElement dxfId="2" type="firstRowStripe"/>
      <tableStyleElement dxfId="3" type="secondRowStripe"/>
    </tableStyle>
    <tableStyle count="3" pivot="0" name="Expenses 2025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0</xdr:row>
      <xdr:rowOff>0</xdr:rowOff>
    </xdr:from>
    <xdr:ext cx="7067550" cy="1619250"/>
    <xdr:grpSp>
      <xdr:nvGrpSpPr>
        <xdr:cNvPr id="2" name="Shape 2"/>
        <xdr:cNvGrpSpPr/>
      </xdr:nvGrpSpPr>
      <xdr:grpSpPr>
        <a:xfrm>
          <a:off x="1812225" y="2970375"/>
          <a:ext cx="7067550" cy="1619250"/>
          <a:chOff x="1812225" y="2970375"/>
          <a:chExt cx="7067550" cy="1619250"/>
        </a:xfrm>
      </xdr:grpSpPr>
      <xdr:grpSp>
        <xdr:nvGrpSpPr>
          <xdr:cNvPr id="8" name="Shape 8"/>
          <xdr:cNvGrpSpPr/>
        </xdr:nvGrpSpPr>
        <xdr:grpSpPr>
          <a:xfrm>
            <a:off x="1812225" y="2970375"/>
            <a:ext cx="7067550" cy="1619250"/>
            <a:chOff x="9107525" y="0"/>
            <a:chExt cx="7065290" cy="1615288"/>
          </a:xfrm>
        </xdr:grpSpPr>
        <xdr:sp>
          <xdr:nvSpPr>
            <xdr:cNvPr id="4" name="Shape 4"/>
            <xdr:cNvSpPr/>
          </xdr:nvSpPr>
          <xdr:spPr>
            <a:xfrm>
              <a:off x="9107525" y="0"/>
              <a:ext cx="7065275" cy="161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3364869" y="0"/>
              <a:ext cx="2807946" cy="16152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643807" y="0"/>
              <a:ext cx="2808309" cy="161528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1" name="Shape 11"/>
            <xdr:cNvSpPr/>
          </xdr:nvSpPr>
          <xdr:spPr>
            <a:xfrm>
              <a:off x="9107525" y="0"/>
              <a:ext cx="2382566" cy="1198720"/>
            </a:xfrm>
            <a:custGeom>
              <a:rect b="b" l="l" r="r" t="t"/>
              <a:pathLst>
                <a:path extrusionOk="0" h="1200150" w="2400300">
                  <a:moveTo>
                    <a:pt x="1200150" y="1200150"/>
                  </a:moveTo>
                  <a:cubicBezTo>
                    <a:pt x="1863090" y="1200150"/>
                    <a:pt x="2400300" y="662940"/>
                    <a:pt x="2400300" y="0"/>
                  </a:cubicBezTo>
                  <a:lnTo>
                    <a:pt x="0" y="0"/>
                  </a:lnTo>
                  <a:cubicBezTo>
                    <a:pt x="0" y="662940"/>
                    <a:pt x="537210" y="1200150"/>
                    <a:pt x="1200150" y="1200150"/>
                  </a:cubicBezTo>
                  <a:close/>
                </a:path>
              </a:pathLst>
            </a:custGeom>
            <a:solidFill>
              <a:srgbClr val="000000">
                <a:alpha val="49804"/>
              </a:srgbClr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0</xdr:row>
      <xdr:rowOff>0</xdr:rowOff>
    </xdr:from>
    <xdr:ext cx="7067550" cy="1619250"/>
    <xdr:grpSp>
      <xdr:nvGrpSpPr>
        <xdr:cNvPr id="2" name="Shape 2"/>
        <xdr:cNvGrpSpPr/>
      </xdr:nvGrpSpPr>
      <xdr:grpSpPr>
        <a:xfrm>
          <a:off x="1812225" y="2970375"/>
          <a:ext cx="7067550" cy="1619250"/>
          <a:chOff x="1812225" y="2970375"/>
          <a:chExt cx="7067550" cy="1619250"/>
        </a:xfrm>
      </xdr:grpSpPr>
      <xdr:grpSp>
        <xdr:nvGrpSpPr>
          <xdr:cNvPr id="3" name="Shape 3"/>
          <xdr:cNvGrpSpPr/>
        </xdr:nvGrpSpPr>
        <xdr:grpSpPr>
          <a:xfrm>
            <a:off x="1812225" y="2970375"/>
            <a:ext cx="7067550" cy="1619250"/>
            <a:chOff x="9107525" y="0"/>
            <a:chExt cx="7065290" cy="1615288"/>
          </a:xfrm>
        </xdr:grpSpPr>
        <xdr:sp>
          <xdr:nvSpPr>
            <xdr:cNvPr id="4" name="Shape 4"/>
            <xdr:cNvSpPr/>
          </xdr:nvSpPr>
          <xdr:spPr>
            <a:xfrm>
              <a:off x="9107525" y="0"/>
              <a:ext cx="7065275" cy="161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3364869" y="0"/>
              <a:ext cx="2807946" cy="16152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643807" y="0"/>
              <a:ext cx="2808309" cy="161528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" name="Shape 7"/>
            <xdr:cNvSpPr/>
          </xdr:nvSpPr>
          <xdr:spPr>
            <a:xfrm>
              <a:off x="9107525" y="0"/>
              <a:ext cx="2382566" cy="1198720"/>
            </a:xfrm>
            <a:custGeom>
              <a:rect b="b" l="l" r="r" t="t"/>
              <a:pathLst>
                <a:path extrusionOk="0" h="1200150" w="2400300">
                  <a:moveTo>
                    <a:pt x="1200150" y="1200150"/>
                  </a:moveTo>
                  <a:cubicBezTo>
                    <a:pt x="1863090" y="1200150"/>
                    <a:pt x="2400300" y="662940"/>
                    <a:pt x="2400300" y="0"/>
                  </a:cubicBezTo>
                  <a:lnTo>
                    <a:pt x="0" y="0"/>
                  </a:lnTo>
                  <a:cubicBezTo>
                    <a:pt x="0" y="662940"/>
                    <a:pt x="537210" y="1200150"/>
                    <a:pt x="1200150" y="1200150"/>
                  </a:cubicBezTo>
                  <a:close/>
                </a:path>
              </a:pathLst>
            </a:custGeom>
            <a:solidFill>
              <a:srgbClr val="000000">
                <a:alpha val="49804"/>
              </a:srgbClr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0</xdr:row>
      <xdr:rowOff>0</xdr:rowOff>
    </xdr:from>
    <xdr:ext cx="7067550" cy="1619250"/>
    <xdr:grpSp>
      <xdr:nvGrpSpPr>
        <xdr:cNvPr id="2" name="Shape 2"/>
        <xdr:cNvGrpSpPr/>
      </xdr:nvGrpSpPr>
      <xdr:grpSpPr>
        <a:xfrm>
          <a:off x="1812225" y="2970375"/>
          <a:ext cx="7067550" cy="1619250"/>
          <a:chOff x="1812225" y="2970375"/>
          <a:chExt cx="7067550" cy="1619250"/>
        </a:xfrm>
      </xdr:grpSpPr>
      <xdr:grpSp>
        <xdr:nvGrpSpPr>
          <xdr:cNvPr id="8" name="Shape 8"/>
          <xdr:cNvGrpSpPr/>
        </xdr:nvGrpSpPr>
        <xdr:grpSpPr>
          <a:xfrm>
            <a:off x="1812225" y="2970375"/>
            <a:ext cx="7067550" cy="1619250"/>
            <a:chOff x="9107525" y="0"/>
            <a:chExt cx="7065290" cy="1615288"/>
          </a:xfrm>
        </xdr:grpSpPr>
        <xdr:sp>
          <xdr:nvSpPr>
            <xdr:cNvPr id="4" name="Shape 4"/>
            <xdr:cNvSpPr/>
          </xdr:nvSpPr>
          <xdr:spPr>
            <a:xfrm>
              <a:off x="9107525" y="0"/>
              <a:ext cx="7065275" cy="161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3364869" y="0"/>
              <a:ext cx="2807946" cy="16152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643807" y="0"/>
              <a:ext cx="2808309" cy="161528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1" name="Shape 11"/>
            <xdr:cNvSpPr/>
          </xdr:nvSpPr>
          <xdr:spPr>
            <a:xfrm>
              <a:off x="9107525" y="0"/>
              <a:ext cx="2382566" cy="1198720"/>
            </a:xfrm>
            <a:custGeom>
              <a:rect b="b" l="l" r="r" t="t"/>
              <a:pathLst>
                <a:path extrusionOk="0" h="1200150" w="2400300">
                  <a:moveTo>
                    <a:pt x="1200150" y="1200150"/>
                  </a:moveTo>
                  <a:cubicBezTo>
                    <a:pt x="1863090" y="1200150"/>
                    <a:pt x="2400300" y="662940"/>
                    <a:pt x="2400300" y="0"/>
                  </a:cubicBezTo>
                  <a:lnTo>
                    <a:pt x="0" y="0"/>
                  </a:lnTo>
                  <a:cubicBezTo>
                    <a:pt x="0" y="662940"/>
                    <a:pt x="537210" y="1200150"/>
                    <a:pt x="1200150" y="1200150"/>
                  </a:cubicBezTo>
                  <a:close/>
                </a:path>
              </a:pathLst>
            </a:custGeom>
            <a:solidFill>
              <a:srgbClr val="000000">
                <a:alpha val="49804"/>
              </a:srgbClr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0</xdr:row>
      <xdr:rowOff>0</xdr:rowOff>
    </xdr:from>
    <xdr:ext cx="7067550" cy="1619250"/>
    <xdr:grpSp>
      <xdr:nvGrpSpPr>
        <xdr:cNvPr id="2" name="Shape 2"/>
        <xdr:cNvGrpSpPr/>
      </xdr:nvGrpSpPr>
      <xdr:grpSpPr>
        <a:xfrm>
          <a:off x="1812225" y="2970375"/>
          <a:ext cx="7067550" cy="1619250"/>
          <a:chOff x="1812225" y="2970375"/>
          <a:chExt cx="7067550" cy="1619250"/>
        </a:xfrm>
      </xdr:grpSpPr>
      <xdr:grpSp>
        <xdr:nvGrpSpPr>
          <xdr:cNvPr id="3" name="Shape 3"/>
          <xdr:cNvGrpSpPr/>
        </xdr:nvGrpSpPr>
        <xdr:grpSpPr>
          <a:xfrm>
            <a:off x="1812225" y="2970375"/>
            <a:ext cx="7067550" cy="1619250"/>
            <a:chOff x="9107525" y="0"/>
            <a:chExt cx="7065290" cy="1615288"/>
          </a:xfrm>
        </xdr:grpSpPr>
        <xdr:sp>
          <xdr:nvSpPr>
            <xdr:cNvPr id="4" name="Shape 4"/>
            <xdr:cNvSpPr/>
          </xdr:nvSpPr>
          <xdr:spPr>
            <a:xfrm>
              <a:off x="9107525" y="0"/>
              <a:ext cx="7065275" cy="161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3364869" y="0"/>
              <a:ext cx="2807946" cy="16152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643807" y="0"/>
              <a:ext cx="2808309" cy="161528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" name="Shape 7"/>
            <xdr:cNvSpPr/>
          </xdr:nvSpPr>
          <xdr:spPr>
            <a:xfrm>
              <a:off x="9107525" y="0"/>
              <a:ext cx="2382566" cy="1198720"/>
            </a:xfrm>
            <a:custGeom>
              <a:rect b="b" l="l" r="r" t="t"/>
              <a:pathLst>
                <a:path extrusionOk="0" h="1200150" w="2400300">
                  <a:moveTo>
                    <a:pt x="1200150" y="1200150"/>
                  </a:moveTo>
                  <a:cubicBezTo>
                    <a:pt x="1863090" y="1200150"/>
                    <a:pt x="2400300" y="662940"/>
                    <a:pt x="2400300" y="0"/>
                  </a:cubicBezTo>
                  <a:lnTo>
                    <a:pt x="0" y="0"/>
                  </a:lnTo>
                  <a:cubicBezTo>
                    <a:pt x="0" y="662940"/>
                    <a:pt x="537210" y="1200150"/>
                    <a:pt x="1200150" y="1200150"/>
                  </a:cubicBezTo>
                  <a:close/>
                </a:path>
              </a:pathLst>
            </a:custGeom>
            <a:solidFill>
              <a:srgbClr val="000000">
                <a:alpha val="49804"/>
              </a:srgbClr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wnloads\Book%207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ned expenses"/>
      <sheetName val="Expense variances"/>
      <sheetName val="Expenses analysis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ref="B8:O11" displayName="Table_1" name="Table_1" id="1">
  <tableColumns count="14">
    <tableColumn name=" EMPLOYEE COST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5-style" showColumnStripes="0" showFirstColumn="1" showLastColumn="1" showRowStripes="1"/>
</table>
</file>

<file path=xl/tables/table2.xml><?xml version="1.0" encoding="utf-8"?>
<table xmlns="http://schemas.openxmlformats.org/spreadsheetml/2006/main" ref="B13:O30" displayName="Table_3" name="Table_3" id="3">
  <tableColumns count="14">
    <tableColumn name="Fixed operating expense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5-style 2" showColumnStripes="0" showFirstColumn="1" showLastColumn="1" showRowStripes="1"/>
</table>
</file>

<file path=xl/tables/table3.xml><?xml version="1.0" encoding="utf-8"?>
<table xmlns="http://schemas.openxmlformats.org/spreadsheetml/2006/main" ref="B32:O41" displayName="Table_6" name="Table_6" id="6">
  <tableColumns count="14">
    <tableColumn name="Variable operating expense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5-style 3" showColumnStripes="0" showFirstColumn="1" showLastColumn="1" showRowStripes="1"/>
</table>
</file>

<file path=xl/tables/table4.xml><?xml version="1.0" encoding="utf-8"?>
<table xmlns="http://schemas.openxmlformats.org/spreadsheetml/2006/main" ref="B53:O59" displayName="Table_9" name="Table_9" id="9">
  <tableColumns count="14">
    <tableColumn name="Comision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5-style 4" showColumnStripes="0" showFirstColumn="1" showLastColumn="1" showRowStripes="1"/>
</table>
</file>

<file path=xl/tables/table5.xml><?xml version="1.0" encoding="utf-8"?>
<table xmlns="http://schemas.openxmlformats.org/spreadsheetml/2006/main" ref="B8:O11" displayName="Table_2" name="Table_2" id="2">
  <tableColumns count="14">
    <tableColumn name=" EMPLOYEE COST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6-style" showColumnStripes="0" showFirstColumn="1" showLastColumn="1" showRowStripes="1"/>
</table>
</file>

<file path=xl/tables/table6.xml><?xml version="1.0" encoding="utf-8"?>
<table xmlns="http://schemas.openxmlformats.org/spreadsheetml/2006/main" ref="B13:O30" displayName="Table_4" name="Table_4" id="4">
  <tableColumns count="14">
    <tableColumn name="Fixed operating expense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6-style 2" showColumnStripes="0" showFirstColumn="1" showLastColumn="1" showRowStripes="1"/>
</table>
</file>

<file path=xl/tables/table7.xml><?xml version="1.0" encoding="utf-8"?>
<table xmlns="http://schemas.openxmlformats.org/spreadsheetml/2006/main" ref="B32:O37" displayName="Table_5" name="Table_5" id="5">
  <tableColumns count="14">
    <tableColumn name="Variable operating expenses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6-style 3" showColumnStripes="0" showFirstColumn="1" showLastColumn="1" showRowStripes="1"/>
</table>
</file>

<file path=xl/tables/table8.xml><?xml version="1.0" encoding="utf-8"?>
<table xmlns="http://schemas.openxmlformats.org/spreadsheetml/2006/main" headerRowCount="0" ref="C38:D40" displayName="Table_7" name="Table_7" id="7">
  <tableColumns count="2">
    <tableColumn name="Column1" id="1"/>
    <tableColumn name="Column2" id="2"/>
  </tableColumns>
  <tableStyleInfo name="Expenses 2026-style 4" showColumnStripes="0" showFirstColumn="1" showLastColumn="1" showRowStripes="1"/>
</table>
</file>

<file path=xl/tables/table9.xml><?xml version="1.0" encoding="utf-8"?>
<table xmlns="http://schemas.openxmlformats.org/spreadsheetml/2006/main" ref="B50:O56" displayName="Table_8" name="Table_8" id="8">
  <tableColumns count="14">
    <tableColumn name="Comision" id="1"/>
    <tableColumn name="JANUARY" id="2"/>
    <tableColumn name="FEBRUARY" id="3"/>
    <tableColumn name="MARCH" id="4"/>
    <tableColumn name="APRIL" id="5"/>
    <tableColumn name="MAY" id="6"/>
    <tableColumn name="JUNE" id="7"/>
    <tableColumn name="JULY" id="8"/>
    <tableColumn name="AUGUST" id="9"/>
    <tableColumn name="SEPTEMBER" id="10"/>
    <tableColumn name="OCTOBER" id="11"/>
    <tableColumn name="NOVEMBER" id="12"/>
    <tableColumn name="DECEMBER" id="13"/>
    <tableColumn name="TOTAL" id="14"/>
  </tableColumns>
  <tableStyleInfo name="Expenses 2026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DAA9A"/>
      </a:accent1>
      <a:accent2>
        <a:srgbClr val="F4AF00"/>
      </a:accent2>
      <a:accent3>
        <a:srgbClr val="86BB7F"/>
      </a:accent3>
      <a:accent4>
        <a:srgbClr val="E9665E"/>
      </a:accent4>
      <a:accent5>
        <a:srgbClr val="00391B"/>
      </a:accent5>
      <a:accent6>
        <a:srgbClr val="A08C87"/>
      </a:accent6>
      <a:hlink>
        <a:srgbClr val="0563C1"/>
      </a:hlink>
      <a:folHlink>
        <a:srgbClr val="0563C1"/>
      </a:folHlink>
    </a:clrScheme>
    <a:fontScheme name="Sheets">
      <a:majorFont>
        <a:latin typeface="Palatino Linotype"/>
        <a:ea typeface="Palatino Linotype"/>
        <a:cs typeface="Palatino Linotype"/>
      </a:majorFont>
      <a:minorFont>
        <a:latin typeface="Palatino Linotype"/>
        <a:ea typeface="Palatino Linotype"/>
        <a:cs typeface="Palatino Linotyp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3.25"/>
    <col customWidth="1" min="3" max="3" width="15.38"/>
    <col customWidth="1" min="4" max="14" width="14.38"/>
    <col customWidth="1" min="15" max="15" width="18.38"/>
    <col customWidth="1" min="16" max="16" width="2.75"/>
    <col customWidth="1" min="17" max="26" width="16.63"/>
  </cols>
  <sheetData>
    <row r="1" ht="60.0" customHeight="1">
      <c r="A1" s="9"/>
      <c r="B1" s="12" t="s">
        <v>2</v>
      </c>
      <c r="C1" s="14"/>
      <c r="D1" s="14"/>
      <c r="E1" s="16"/>
      <c r="F1" s="16"/>
      <c r="G1" s="16"/>
      <c r="H1" s="16"/>
      <c r="I1" s="16"/>
      <c r="J1" s="16"/>
      <c r="K1" s="16"/>
      <c r="L1" s="16"/>
      <c r="M1" s="16"/>
      <c r="N1" s="16"/>
      <c r="O1" s="6"/>
      <c r="P1" s="7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28.5" customHeight="1">
      <c r="A2" s="25"/>
      <c r="B2" s="28">
        <v>2025.0</v>
      </c>
      <c r="C2" s="29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54.75" customHeight="1">
      <c r="A3" s="39"/>
      <c r="B3" s="40"/>
      <c r="C3" s="42"/>
      <c r="D3" s="14"/>
      <c r="E3" s="43"/>
      <c r="F3" s="43"/>
      <c r="G3" s="43"/>
      <c r="H3" s="43"/>
      <c r="I3" s="43"/>
      <c r="J3" s="43"/>
      <c r="K3" s="43"/>
      <c r="L3" s="43"/>
      <c r="M3" s="43"/>
      <c r="N3" s="43"/>
      <c r="O3" s="45"/>
      <c r="P3" s="46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45.0" customHeight="1">
      <c r="A4" s="25"/>
      <c r="B4" s="50"/>
      <c r="C4" s="31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34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0.0" customHeight="1">
      <c r="A5" s="36"/>
      <c r="B5" s="54"/>
      <c r="C5" s="56"/>
      <c r="D5" s="56"/>
      <c r="E5" s="57"/>
      <c r="F5" s="57"/>
      <c r="G5" s="59"/>
      <c r="H5" s="57"/>
      <c r="I5" s="57"/>
      <c r="J5" s="59"/>
      <c r="K5" s="57"/>
      <c r="L5" s="59"/>
      <c r="M5" s="57"/>
      <c r="N5" s="57"/>
      <c r="O5" s="57"/>
      <c r="P5" s="44"/>
      <c r="Q5" s="8"/>
      <c r="R5" s="8"/>
      <c r="S5" s="8"/>
      <c r="T5" s="8"/>
      <c r="U5" s="8"/>
      <c r="V5" s="8"/>
      <c r="W5" s="8"/>
      <c r="X5" s="8"/>
      <c r="Y5" s="8"/>
      <c r="Z5" s="8"/>
    </row>
    <row r="6" ht="36.0" customHeight="1">
      <c r="A6" s="64"/>
      <c r="B6" s="65"/>
      <c r="C6" s="66" t="s">
        <v>5</v>
      </c>
      <c r="D6" s="67" t="s">
        <v>6</v>
      </c>
      <c r="E6" s="68" t="s">
        <v>7</v>
      </c>
      <c r="F6" s="69" t="s">
        <v>8</v>
      </c>
      <c r="G6" s="69" t="s">
        <v>9</v>
      </c>
      <c r="H6" s="72" t="s">
        <v>10</v>
      </c>
      <c r="I6" s="74" t="s">
        <v>11</v>
      </c>
      <c r="J6" s="69" t="s">
        <v>12</v>
      </c>
      <c r="K6" s="75" t="s">
        <v>13</v>
      </c>
      <c r="L6" s="69" t="s">
        <v>14</v>
      </c>
      <c r="M6" s="75" t="s">
        <v>15</v>
      </c>
      <c r="N6" s="75" t="s">
        <v>16</v>
      </c>
      <c r="O6" s="72" t="s">
        <v>17</v>
      </c>
      <c r="P6" s="64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24.0" customHeight="1">
      <c r="A7" s="58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3"/>
      <c r="O7" s="82"/>
      <c r="P7" s="71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24.0" customHeight="1">
      <c r="A8" s="36"/>
      <c r="B8" s="85" t="s">
        <v>19</v>
      </c>
      <c r="C8" s="86" t="s">
        <v>20</v>
      </c>
      <c r="D8" s="86" t="s">
        <v>21</v>
      </c>
      <c r="E8" s="86" t="s">
        <v>22</v>
      </c>
      <c r="F8" s="86" t="s">
        <v>23</v>
      </c>
      <c r="G8" s="86" t="s">
        <v>24</v>
      </c>
      <c r="H8" s="86" t="s">
        <v>25</v>
      </c>
      <c r="I8" s="86" t="s">
        <v>26</v>
      </c>
      <c r="J8" s="86" t="s">
        <v>27</v>
      </c>
      <c r="K8" s="86" t="s">
        <v>28</v>
      </c>
      <c r="L8" s="86" t="s">
        <v>29</v>
      </c>
      <c r="M8" s="86" t="s">
        <v>30</v>
      </c>
      <c r="N8" s="86" t="s">
        <v>31</v>
      </c>
      <c r="O8" s="86" t="s">
        <v>32</v>
      </c>
      <c r="P8" s="44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36"/>
      <c r="B9" s="88" t="s">
        <v>33</v>
      </c>
      <c r="C9" s="103">
        <f>2875875.65/507</f>
        <v>5672.33856</v>
      </c>
      <c r="D9" s="103">
        <v>5680.22</v>
      </c>
      <c r="E9" s="104">
        <v>5659.75</v>
      </c>
      <c r="F9" s="106">
        <v>5607.49</v>
      </c>
      <c r="G9" s="93">
        <v>5779.76</v>
      </c>
      <c r="H9" s="95">
        <v>5613.73</v>
      </c>
      <c r="I9" s="92">
        <v>4929.44</v>
      </c>
      <c r="J9" s="93">
        <v>5221.36</v>
      </c>
      <c r="K9" s="92">
        <v>5066.78</v>
      </c>
      <c r="L9" s="93">
        <v>4978.62</v>
      </c>
      <c r="M9" s="92">
        <v>5066.78</v>
      </c>
      <c r="N9" s="94">
        <v>10206.0</v>
      </c>
      <c r="O9" s="95">
        <f>SUM('Expenses 2025'!$C9:$N9)</f>
        <v>69482.26856</v>
      </c>
      <c r="P9" s="44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36"/>
      <c r="B10" s="88" t="s">
        <v>34</v>
      </c>
      <c r="C10" s="103">
        <f>1151457/507</f>
        <v>2271.118343</v>
      </c>
      <c r="D10" s="103">
        <v>2265.64</v>
      </c>
      <c r="E10" s="104">
        <v>2200.7</v>
      </c>
      <c r="F10" s="106">
        <v>2172.4</v>
      </c>
      <c r="G10" s="93">
        <v>2298.15</v>
      </c>
      <c r="H10" s="95">
        <v>2249.65</v>
      </c>
      <c r="I10" s="92">
        <v>2090.6</v>
      </c>
      <c r="J10" s="93">
        <v>2282.25</v>
      </c>
      <c r="K10" s="92">
        <v>2248.0</v>
      </c>
      <c r="L10" s="93">
        <v>2178.81</v>
      </c>
      <c r="M10" s="114">
        <v>2398.0</v>
      </c>
      <c r="N10" s="94">
        <v>2160.0</v>
      </c>
      <c r="O10" s="95">
        <f>SUM('Expenses 2025'!$C10:$N10)</f>
        <v>26815.31834</v>
      </c>
      <c r="P10" s="44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58"/>
      <c r="B11" s="88"/>
      <c r="C11" s="117"/>
      <c r="D11" s="95"/>
      <c r="E11" s="95"/>
      <c r="F11" s="93"/>
      <c r="G11" s="93"/>
      <c r="H11" s="95"/>
      <c r="I11" s="92"/>
      <c r="J11" s="93"/>
      <c r="K11" s="92"/>
      <c r="L11" s="93"/>
      <c r="M11" s="92">
        <v>1500.0</v>
      </c>
      <c r="N11" s="94">
        <v>1695.0</v>
      </c>
      <c r="O11" s="95">
        <f>SUM('Expenses 2025'!$C11:$N11)</f>
        <v>3195</v>
      </c>
      <c r="P11" s="71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24.0" customHeight="1">
      <c r="A12" s="36"/>
      <c r="B12" s="110" t="s">
        <v>38</v>
      </c>
      <c r="C12" s="121">
        <f t="shared" ref="C12:L12" si="1">SUM(C9,C10)</f>
        <v>7943.456903</v>
      </c>
      <c r="D12" s="115">
        <f t="shared" si="1"/>
        <v>7945.86</v>
      </c>
      <c r="E12" s="115">
        <f t="shared" si="1"/>
        <v>7860.45</v>
      </c>
      <c r="F12" s="115">
        <f t="shared" si="1"/>
        <v>7779.89</v>
      </c>
      <c r="G12" s="115">
        <f t="shared" si="1"/>
        <v>8077.91</v>
      </c>
      <c r="H12" s="115">
        <f t="shared" si="1"/>
        <v>7863.38</v>
      </c>
      <c r="I12" s="115">
        <f t="shared" si="1"/>
        <v>7020.04</v>
      </c>
      <c r="J12" s="115">
        <f t="shared" si="1"/>
        <v>7503.61</v>
      </c>
      <c r="K12" s="115">
        <f t="shared" si="1"/>
        <v>7314.78</v>
      </c>
      <c r="L12" s="115">
        <f t="shared" si="1"/>
        <v>7157.43</v>
      </c>
      <c r="M12" s="115">
        <f>SUM(M9,M10,M11)</f>
        <v>8964.78</v>
      </c>
      <c r="N12" s="119">
        <f>SUM(N9:N11)</f>
        <v>14061</v>
      </c>
      <c r="O12" s="121">
        <f>SUM(C12:N12)</f>
        <v>99492.5869</v>
      </c>
      <c r="P12" s="44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6"/>
      <c r="B13" s="122" t="s">
        <v>39</v>
      </c>
      <c r="C13" s="86" t="s">
        <v>20</v>
      </c>
      <c r="D13" s="86" t="s">
        <v>21</v>
      </c>
      <c r="E13" s="86" t="s">
        <v>22</v>
      </c>
      <c r="F13" s="86" t="s">
        <v>23</v>
      </c>
      <c r="G13" s="86" t="s">
        <v>24</v>
      </c>
      <c r="H13" s="86" t="s">
        <v>25</v>
      </c>
      <c r="I13" s="86" t="s">
        <v>26</v>
      </c>
      <c r="J13" s="86" t="s">
        <v>27</v>
      </c>
      <c r="K13" s="86" t="s">
        <v>28</v>
      </c>
      <c r="L13" s="86" t="s">
        <v>29</v>
      </c>
      <c r="M13" s="86" t="s">
        <v>30</v>
      </c>
      <c r="N13" s="125" t="s">
        <v>31</v>
      </c>
      <c r="O13" s="86" t="s">
        <v>32</v>
      </c>
      <c r="P13" s="44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36"/>
      <c r="B14" s="127" t="s">
        <v>40</v>
      </c>
      <c r="C14" s="133">
        <v>715.0</v>
      </c>
      <c r="D14" s="133">
        <v>777.0</v>
      </c>
      <c r="E14" s="133">
        <v>345.09</v>
      </c>
      <c r="F14" s="133">
        <v>222.66</v>
      </c>
      <c r="G14" s="133">
        <v>223.66</v>
      </c>
      <c r="H14" s="133">
        <v>223.66</v>
      </c>
      <c r="I14" s="133">
        <v>223.66</v>
      </c>
      <c r="J14" s="133">
        <v>381.44</v>
      </c>
      <c r="K14" s="133">
        <v>223.0</v>
      </c>
      <c r="L14" s="133">
        <v>223.0</v>
      </c>
      <c r="M14" s="133">
        <v>223.0</v>
      </c>
      <c r="N14" s="136">
        <v>707.0</v>
      </c>
      <c r="O14" s="133">
        <f>SUM('Expenses 2025'!$C14:$N14)</f>
        <v>4488.17</v>
      </c>
      <c r="P14" s="44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36"/>
      <c r="B15" s="137" t="s">
        <v>52</v>
      </c>
      <c r="C15" s="103">
        <f>259040/507</f>
        <v>510.9270217</v>
      </c>
      <c r="D15" s="103">
        <v>311.0</v>
      </c>
      <c r="E15" s="104">
        <v>257.8</v>
      </c>
      <c r="F15" s="106">
        <v>433.92</v>
      </c>
      <c r="G15" s="95">
        <v>261.74</v>
      </c>
      <c r="H15" s="151">
        <v>244.56</v>
      </c>
      <c r="I15" s="92">
        <v>242.51</v>
      </c>
      <c r="J15" s="93">
        <v>249.5</v>
      </c>
      <c r="K15" s="92">
        <v>332.0</v>
      </c>
      <c r="L15" s="93">
        <v>320.0</v>
      </c>
      <c r="M15" s="92">
        <v>332.0</v>
      </c>
      <c r="N15" s="94">
        <v>250.0</v>
      </c>
      <c r="O15" s="95">
        <f>SUM('Expenses 2025'!$C15:$N15)</f>
        <v>3745.957022</v>
      </c>
      <c r="P15" s="44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36"/>
      <c r="B16" s="137" t="s">
        <v>58</v>
      </c>
      <c r="C16" s="143">
        <v>200.0</v>
      </c>
      <c r="D16" s="143">
        <v>200.0</v>
      </c>
      <c r="E16" s="143">
        <v>200.0</v>
      </c>
      <c r="F16" s="143">
        <v>200.0</v>
      </c>
      <c r="G16" s="143">
        <v>200.0</v>
      </c>
      <c r="H16" s="143">
        <v>200.0</v>
      </c>
      <c r="I16" s="143">
        <v>200.0</v>
      </c>
      <c r="J16" s="143">
        <v>200.0</v>
      </c>
      <c r="K16" s="143">
        <v>200.0</v>
      </c>
      <c r="L16" s="143">
        <v>200.0</v>
      </c>
      <c r="M16" s="143">
        <v>200.0</v>
      </c>
      <c r="N16" s="136">
        <v>103.0</v>
      </c>
      <c r="O16" s="95">
        <f>SUM('Expenses 2025'!$C16:$N16)</f>
        <v>2303</v>
      </c>
      <c r="P16" s="44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36"/>
      <c r="B17" s="137" t="s">
        <v>78</v>
      </c>
      <c r="C17" s="93">
        <v>200.0</v>
      </c>
      <c r="D17" s="93">
        <v>200.0</v>
      </c>
      <c r="E17" s="93">
        <v>200.0</v>
      </c>
      <c r="F17" s="93">
        <v>1682.0</v>
      </c>
      <c r="G17" s="93">
        <v>200.0</v>
      </c>
      <c r="H17" s="93">
        <v>200.0</v>
      </c>
      <c r="I17" s="93">
        <v>200.0</v>
      </c>
      <c r="J17" s="93">
        <v>200.0</v>
      </c>
      <c r="K17" s="93">
        <v>200.0</v>
      </c>
      <c r="L17" s="93">
        <v>200.0</v>
      </c>
      <c r="M17" s="92"/>
      <c r="N17" s="136"/>
      <c r="O17" s="95">
        <f>SUM('Expenses 2025'!$C17:$N17)</f>
        <v>3482</v>
      </c>
      <c r="P17" s="44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36"/>
      <c r="B18" s="137" t="s">
        <v>70</v>
      </c>
      <c r="C18" s="166">
        <v>2355.0</v>
      </c>
      <c r="D18" s="166">
        <v>2371.0</v>
      </c>
      <c r="E18" s="160">
        <v>2353.0</v>
      </c>
      <c r="F18" s="168">
        <v>2471.0</v>
      </c>
      <c r="G18" s="133">
        <v>2077.0</v>
      </c>
      <c r="H18" s="162">
        <v>2055.0</v>
      </c>
      <c r="I18" s="143">
        <v>2103.0</v>
      </c>
      <c r="J18" s="148">
        <v>2563.0</v>
      </c>
      <c r="K18" s="143">
        <v>2226.0</v>
      </c>
      <c r="L18" s="148">
        <v>1911.0</v>
      </c>
      <c r="M18" s="148">
        <v>2300.0</v>
      </c>
      <c r="N18" s="170">
        <v>2016.0</v>
      </c>
      <c r="O18" s="95">
        <f>SUM('Expenses 2025'!$C18:$N18)</f>
        <v>26801</v>
      </c>
      <c r="P18" s="44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36"/>
      <c r="B19" s="137" t="s">
        <v>72</v>
      </c>
      <c r="C19" s="166">
        <v>193.0</v>
      </c>
      <c r="D19" s="166">
        <v>267.8382840236687</v>
      </c>
      <c r="E19" s="160">
        <v>6.87</v>
      </c>
      <c r="F19" s="168">
        <v>6.24</v>
      </c>
      <c r="G19" s="133">
        <v>610.81</v>
      </c>
      <c r="H19" s="162">
        <v>791.11</v>
      </c>
      <c r="I19" s="143">
        <v>830.55</v>
      </c>
      <c r="J19" s="148">
        <v>963.53</v>
      </c>
      <c r="K19" s="143">
        <v>786.33</v>
      </c>
      <c r="L19" s="148">
        <v>725.35</v>
      </c>
      <c r="M19" s="148">
        <v>430.0</v>
      </c>
      <c r="N19" s="136">
        <v>466.0</v>
      </c>
      <c r="O19" s="95">
        <f>SUM('Expenses 2025'!$C19:$N19)</f>
        <v>6077.628284</v>
      </c>
      <c r="P19" s="44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A20" s="58"/>
      <c r="B20" s="137" t="s">
        <v>75</v>
      </c>
      <c r="C20" s="166">
        <v>86.73</v>
      </c>
      <c r="D20" s="166">
        <v>86.73</v>
      </c>
      <c r="E20" s="166">
        <v>86.73</v>
      </c>
      <c r="F20" s="166">
        <v>86.73</v>
      </c>
      <c r="G20" s="166">
        <v>86.73</v>
      </c>
      <c r="H20" s="166">
        <v>86.73</v>
      </c>
      <c r="I20" s="166">
        <v>86.73</v>
      </c>
      <c r="J20" s="166">
        <v>86.73</v>
      </c>
      <c r="K20" s="166">
        <v>86.73</v>
      </c>
      <c r="L20" s="166">
        <v>86.73</v>
      </c>
      <c r="M20" s="166">
        <v>86.73</v>
      </c>
      <c r="N20" s="94">
        <v>86.73</v>
      </c>
      <c r="O20" s="95">
        <f>SUM('Expenses 2025'!$C20:$N20)</f>
        <v>1040.76</v>
      </c>
      <c r="P20" s="71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24.0" customHeight="1">
      <c r="A21" s="36"/>
      <c r="B21" s="137" t="s">
        <v>76</v>
      </c>
      <c r="C21" s="143">
        <v>30.0</v>
      </c>
      <c r="D21" s="166">
        <v>30.0</v>
      </c>
      <c r="E21" s="166">
        <v>30.0</v>
      </c>
      <c r="F21" s="166">
        <v>30.0</v>
      </c>
      <c r="G21" s="166">
        <v>30.0</v>
      </c>
      <c r="H21" s="166">
        <v>30.0</v>
      </c>
      <c r="I21" s="166">
        <v>30.0</v>
      </c>
      <c r="J21" s="166">
        <v>30.0</v>
      </c>
      <c r="K21" s="166">
        <v>30.0</v>
      </c>
      <c r="L21" s="166">
        <v>30.0</v>
      </c>
      <c r="M21" s="166">
        <v>30.0</v>
      </c>
      <c r="N21" s="94">
        <v>30.0</v>
      </c>
      <c r="O21" s="95">
        <f>SUM('Expenses 2025'!$C21:$N21)</f>
        <v>360</v>
      </c>
      <c r="P21" s="44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36"/>
      <c r="B22" s="137" t="s">
        <v>77</v>
      </c>
      <c r="C22" s="143">
        <f t="shared" ref="C22:M22" si="2">14771.75/507</f>
        <v>29.13560158</v>
      </c>
      <c r="D22" s="143">
        <f t="shared" si="2"/>
        <v>29.13560158</v>
      </c>
      <c r="E22" s="143">
        <f t="shared" si="2"/>
        <v>29.13560158</v>
      </c>
      <c r="F22" s="143">
        <f t="shared" si="2"/>
        <v>29.13560158</v>
      </c>
      <c r="G22" s="143">
        <f t="shared" si="2"/>
        <v>29.13560158</v>
      </c>
      <c r="H22" s="143">
        <f t="shared" si="2"/>
        <v>29.13560158</v>
      </c>
      <c r="I22" s="143">
        <f t="shared" si="2"/>
        <v>29.13560158</v>
      </c>
      <c r="J22" s="143">
        <f t="shared" si="2"/>
        <v>29.13560158</v>
      </c>
      <c r="K22" s="143">
        <f t="shared" si="2"/>
        <v>29.13560158</v>
      </c>
      <c r="L22" s="143">
        <f t="shared" si="2"/>
        <v>29.13560158</v>
      </c>
      <c r="M22" s="143">
        <f t="shared" si="2"/>
        <v>29.13560158</v>
      </c>
      <c r="N22" s="94">
        <v>29.14</v>
      </c>
      <c r="O22" s="95">
        <f>SUM('Expenses 2025'!$C22:$N22)</f>
        <v>349.6316174</v>
      </c>
      <c r="P22" s="44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36"/>
      <c r="B23" s="88" t="s">
        <v>79</v>
      </c>
      <c r="C23" s="166"/>
      <c r="D23" s="166">
        <v>964.0</v>
      </c>
      <c r="E23" s="160"/>
      <c r="F23" s="168"/>
      <c r="G23" s="133">
        <v>2000.0</v>
      </c>
      <c r="H23" s="162"/>
      <c r="I23" s="143">
        <v>628.0</v>
      </c>
      <c r="J23" s="148"/>
      <c r="K23" s="143"/>
      <c r="L23" s="148">
        <v>1000.0</v>
      </c>
      <c r="M23" s="148">
        <v>500.0</v>
      </c>
      <c r="N23" s="136">
        <v>1000.0</v>
      </c>
      <c r="O23" s="95">
        <f>SUM('Expenses 2025'!$C23:$N23)</f>
        <v>6092</v>
      </c>
      <c r="P23" s="44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36"/>
      <c r="B24" s="88" t="s">
        <v>80</v>
      </c>
      <c r="C24" s="103">
        <f t="shared" ref="C24:M24" si="3">30639/507</f>
        <v>60.43195266</v>
      </c>
      <c r="D24" s="103">
        <f t="shared" si="3"/>
        <v>60.43195266</v>
      </c>
      <c r="E24" s="103">
        <f t="shared" si="3"/>
        <v>60.43195266</v>
      </c>
      <c r="F24" s="103">
        <f t="shared" si="3"/>
        <v>60.43195266</v>
      </c>
      <c r="G24" s="103">
        <f t="shared" si="3"/>
        <v>60.43195266</v>
      </c>
      <c r="H24" s="103">
        <f t="shared" si="3"/>
        <v>60.43195266</v>
      </c>
      <c r="I24" s="103">
        <f t="shared" si="3"/>
        <v>60.43195266</v>
      </c>
      <c r="J24" s="103">
        <f t="shared" si="3"/>
        <v>60.43195266</v>
      </c>
      <c r="K24" s="103">
        <f t="shared" si="3"/>
        <v>60.43195266</v>
      </c>
      <c r="L24" s="103">
        <f t="shared" si="3"/>
        <v>60.43195266</v>
      </c>
      <c r="M24" s="103">
        <f t="shared" si="3"/>
        <v>60.43195266</v>
      </c>
      <c r="N24" s="94">
        <v>60.43</v>
      </c>
      <c r="O24" s="95">
        <f>SUM('Expenses 2025'!$C24:$N24)</f>
        <v>725.1814793</v>
      </c>
      <c r="P24" s="44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36"/>
      <c r="B25" s="173" t="s">
        <v>82</v>
      </c>
      <c r="C25" s="92">
        <v>230.31</v>
      </c>
      <c r="D25" s="92">
        <v>230.31</v>
      </c>
      <c r="E25" s="92">
        <v>230.31</v>
      </c>
      <c r="F25" s="92">
        <v>230.31</v>
      </c>
      <c r="G25" s="92">
        <v>230.31</v>
      </c>
      <c r="H25" s="92">
        <v>297.0</v>
      </c>
      <c r="I25" s="92">
        <v>297.0</v>
      </c>
      <c r="J25" s="92">
        <v>297.0</v>
      </c>
      <c r="K25" s="92">
        <v>297.0</v>
      </c>
      <c r="L25" s="92">
        <v>297.0</v>
      </c>
      <c r="M25" s="92">
        <v>297.0</v>
      </c>
      <c r="N25" s="94">
        <v>297.0</v>
      </c>
      <c r="O25" s="95">
        <f>SUM('Expenses 2025'!$C25:$N25)</f>
        <v>3230.55</v>
      </c>
      <c r="P25" s="44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36"/>
      <c r="B26" s="88" t="s">
        <v>83</v>
      </c>
      <c r="C26" s="103">
        <f t="shared" ref="C26:H26" si="4">217897/507</f>
        <v>429.7771203</v>
      </c>
      <c r="D26" s="103">
        <f t="shared" si="4"/>
        <v>429.7771203</v>
      </c>
      <c r="E26" s="103">
        <f t="shared" si="4"/>
        <v>429.7771203</v>
      </c>
      <c r="F26" s="103">
        <f t="shared" si="4"/>
        <v>429.7771203</v>
      </c>
      <c r="G26" s="103">
        <f t="shared" si="4"/>
        <v>429.7771203</v>
      </c>
      <c r="H26" s="103">
        <f t="shared" si="4"/>
        <v>429.7771203</v>
      </c>
      <c r="I26" s="103">
        <v>525.0</v>
      </c>
      <c r="J26" s="103">
        <f t="shared" ref="J26:M26" si="5">217897/507</f>
        <v>429.7771203</v>
      </c>
      <c r="K26" s="103">
        <f t="shared" si="5"/>
        <v>429.7771203</v>
      </c>
      <c r="L26" s="103">
        <f t="shared" si="5"/>
        <v>429.7771203</v>
      </c>
      <c r="M26" s="103">
        <f t="shared" si="5"/>
        <v>429.7771203</v>
      </c>
      <c r="N26" s="94">
        <v>429.78</v>
      </c>
      <c r="O26" s="95">
        <f>SUM('Expenses 2025'!$C26:$N26)</f>
        <v>5252.551203</v>
      </c>
      <c r="P26" s="44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36"/>
      <c r="B27" s="173" t="s">
        <v>84</v>
      </c>
      <c r="C27" s="93"/>
      <c r="D27" s="103"/>
      <c r="E27" s="95"/>
      <c r="F27" s="93"/>
      <c r="G27" s="95"/>
      <c r="H27" s="92"/>
      <c r="I27" s="92"/>
      <c r="J27" s="93">
        <v>500.0</v>
      </c>
      <c r="K27" s="92">
        <v>500.0</v>
      </c>
      <c r="L27" s="93">
        <v>500.0</v>
      </c>
      <c r="M27" s="92">
        <v>250.0</v>
      </c>
      <c r="N27" s="136">
        <v>250.0</v>
      </c>
      <c r="O27" s="95">
        <f>SUM('Expenses 2025'!$C27:$N27)</f>
        <v>2000</v>
      </c>
      <c r="P27" s="44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36"/>
      <c r="B28" s="173" t="s">
        <v>85</v>
      </c>
      <c r="C28" s="92"/>
      <c r="D28" s="103">
        <v>795.0</v>
      </c>
      <c r="E28" s="95"/>
      <c r="F28" s="93"/>
      <c r="G28" s="95"/>
      <c r="H28" s="95">
        <v>791.0</v>
      </c>
      <c r="I28" s="95"/>
      <c r="J28" s="95"/>
      <c r="K28" s="95"/>
      <c r="L28" s="95">
        <v>791.0</v>
      </c>
      <c r="M28" s="95"/>
      <c r="N28" s="175">
        <v>791.0</v>
      </c>
      <c r="O28" s="95">
        <f>SUM('Expenses 2025'!$C28:$N28)</f>
        <v>3168</v>
      </c>
      <c r="P28" s="44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36"/>
      <c r="B29" s="173" t="s">
        <v>86</v>
      </c>
      <c r="C29" s="93"/>
      <c r="D29" s="95">
        <v>11201.0</v>
      </c>
      <c r="E29" s="95"/>
      <c r="F29" s="93"/>
      <c r="G29" s="95"/>
      <c r="H29" s="92"/>
      <c r="I29" s="92"/>
      <c r="J29" s="93"/>
      <c r="K29" s="92"/>
      <c r="L29" s="93"/>
      <c r="M29" s="92"/>
      <c r="N29" s="136"/>
      <c r="O29" s="95">
        <f>SUM('Expenses 2025'!$C29:$N29)</f>
        <v>11201</v>
      </c>
      <c r="P29" s="44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36"/>
      <c r="B30" s="173" t="s">
        <v>94</v>
      </c>
      <c r="C30" s="93"/>
      <c r="D30" s="95"/>
      <c r="E30" s="95"/>
      <c r="F30" s="93"/>
      <c r="G30" s="95"/>
      <c r="H30" s="92"/>
      <c r="I30" s="92"/>
      <c r="J30" s="93">
        <v>88.0</v>
      </c>
      <c r="K30" s="92">
        <v>131.0</v>
      </c>
      <c r="L30" s="93">
        <v>120.0</v>
      </c>
      <c r="M30" s="92"/>
      <c r="N30" s="136">
        <f>337+192+117</f>
        <v>646</v>
      </c>
      <c r="O30" s="95">
        <f>SUM('Expenses 2025'!$C30:$N30)</f>
        <v>985</v>
      </c>
      <c r="P30" s="44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36"/>
      <c r="B31" s="110" t="s">
        <v>38</v>
      </c>
      <c r="C31" s="115">
        <f t="shared" ref="C31:N31" si="6">SUM(C13:C30)</f>
        <v>5040.311696</v>
      </c>
      <c r="D31" s="115">
        <f t="shared" si="6"/>
        <v>17953.22296</v>
      </c>
      <c r="E31" s="115">
        <f t="shared" si="6"/>
        <v>4229.144675</v>
      </c>
      <c r="F31" s="115">
        <f t="shared" si="6"/>
        <v>5882.204675</v>
      </c>
      <c r="G31" s="115">
        <f t="shared" si="6"/>
        <v>6439.594675</v>
      </c>
      <c r="H31" s="115">
        <f t="shared" si="6"/>
        <v>5438.404675</v>
      </c>
      <c r="I31" s="115">
        <f t="shared" si="6"/>
        <v>5456.017554</v>
      </c>
      <c r="J31" s="115">
        <f t="shared" si="6"/>
        <v>6078.544675</v>
      </c>
      <c r="K31" s="115">
        <f t="shared" si="6"/>
        <v>5531.404675</v>
      </c>
      <c r="L31" s="115">
        <f t="shared" si="6"/>
        <v>6923.424675</v>
      </c>
      <c r="M31" s="115">
        <f t="shared" si="6"/>
        <v>5168.074675</v>
      </c>
      <c r="N31" s="115">
        <f t="shared" si="6"/>
        <v>7162.08</v>
      </c>
      <c r="O31" s="183">
        <f>SUM(C31:N31)</f>
        <v>81302.42961</v>
      </c>
      <c r="P31" s="44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36"/>
      <c r="B32" s="85" t="s">
        <v>88</v>
      </c>
      <c r="C32" s="86" t="s">
        <v>20</v>
      </c>
      <c r="D32" s="86" t="s">
        <v>21</v>
      </c>
      <c r="E32" s="86" t="s">
        <v>22</v>
      </c>
      <c r="F32" s="86" t="s">
        <v>23</v>
      </c>
      <c r="G32" s="86" t="s">
        <v>24</v>
      </c>
      <c r="H32" s="86" t="s">
        <v>25</v>
      </c>
      <c r="I32" s="86" t="s">
        <v>26</v>
      </c>
      <c r="J32" s="86" t="s">
        <v>27</v>
      </c>
      <c r="K32" s="86" t="s">
        <v>28</v>
      </c>
      <c r="L32" s="86" t="s">
        <v>29</v>
      </c>
      <c r="M32" s="86" t="s">
        <v>30</v>
      </c>
      <c r="N32" s="86" t="s">
        <v>31</v>
      </c>
      <c r="O32" s="86" t="s">
        <v>32</v>
      </c>
      <c r="P32" s="44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36"/>
      <c r="B33" s="206" t="s">
        <v>100</v>
      </c>
      <c r="C33" s="189">
        <f>332581/507</f>
        <v>655.9783037</v>
      </c>
      <c r="D33" s="189">
        <v>312.0</v>
      </c>
      <c r="E33" s="189">
        <v>520.0</v>
      </c>
      <c r="F33" s="189">
        <v>385.82</v>
      </c>
      <c r="G33" s="189">
        <v>834.35</v>
      </c>
      <c r="H33" s="189"/>
      <c r="I33" s="189">
        <v>576.0</v>
      </c>
      <c r="J33" s="189">
        <v>595.0</v>
      </c>
      <c r="K33" s="189">
        <v>180.0</v>
      </c>
      <c r="L33" s="189"/>
      <c r="M33" s="189"/>
      <c r="N33" s="93">
        <f>154+120+148+83</f>
        <v>505</v>
      </c>
      <c r="O33" s="95">
        <f>SUM('Expenses 2025'!$C33:$M33)</f>
        <v>4059.148304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36"/>
      <c r="B34" s="206" t="s">
        <v>103</v>
      </c>
      <c r="C34" s="189">
        <f>47090/507</f>
        <v>92.87968442</v>
      </c>
      <c r="D34" s="189">
        <v>160.0</v>
      </c>
      <c r="E34" s="189">
        <v>708.64</v>
      </c>
      <c r="F34" s="189">
        <v>341.7</v>
      </c>
      <c r="G34" s="189">
        <v>113.35</v>
      </c>
      <c r="H34" s="189">
        <v>333.71</v>
      </c>
      <c r="I34" s="189">
        <v>234.0</v>
      </c>
      <c r="J34" s="189">
        <v>200.0</v>
      </c>
      <c r="K34" s="189"/>
      <c r="L34" s="189"/>
      <c r="M34" s="189"/>
      <c r="N34" s="93"/>
      <c r="O34" s="95">
        <f>SUM('Expenses 2025'!$C34:$M34)</f>
        <v>2184.279684</v>
      </c>
      <c r="P34" s="44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36"/>
      <c r="B35" s="173" t="s">
        <v>104</v>
      </c>
      <c r="C35" s="92">
        <v>155.0</v>
      </c>
      <c r="D35" s="95">
        <v>80.0</v>
      </c>
      <c r="E35" s="95">
        <v>401.0</v>
      </c>
      <c r="F35" s="93">
        <v>30.0</v>
      </c>
      <c r="G35" s="95"/>
      <c r="H35" s="92">
        <v>112.57</v>
      </c>
      <c r="I35" s="92">
        <v>180.0</v>
      </c>
      <c r="J35" s="92">
        <v>200.0</v>
      </c>
      <c r="K35" s="92"/>
      <c r="L35" s="93"/>
      <c r="M35" s="93">
        <v>177.0</v>
      </c>
      <c r="N35" s="93"/>
      <c r="O35" s="95">
        <f>SUM('Expenses 2025'!$C35:$M35)</f>
        <v>1335.57</v>
      </c>
      <c r="P35" s="44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7.0" customHeight="1">
      <c r="A36" s="36"/>
      <c r="B36" s="215" t="s">
        <v>107</v>
      </c>
      <c r="C36" s="95">
        <v>250.0</v>
      </c>
      <c r="D36" s="95">
        <v>566.0</v>
      </c>
      <c r="E36" s="95"/>
      <c r="F36" s="93"/>
      <c r="G36" s="95"/>
      <c r="H36" s="92"/>
      <c r="I36" s="92"/>
      <c r="J36" s="92">
        <v>129.0</v>
      </c>
      <c r="K36" s="92"/>
      <c r="L36" s="93"/>
      <c r="M36" s="93"/>
      <c r="N36" s="93"/>
      <c r="O36" s="95">
        <f>SUM('Expenses 2025'!$C36:$M36)</f>
        <v>945</v>
      </c>
      <c r="P36" s="44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184"/>
      <c r="B37" s="215" t="s">
        <v>90</v>
      </c>
      <c r="C37" s="95">
        <v>1275.5</v>
      </c>
      <c r="D37" s="95">
        <v>718.0</v>
      </c>
      <c r="E37" s="95">
        <v>483.38</v>
      </c>
      <c r="F37" s="93">
        <v>1104.51</v>
      </c>
      <c r="G37" s="95"/>
      <c r="H37" s="92"/>
      <c r="I37" s="92"/>
      <c r="J37" s="92"/>
      <c r="K37" s="92"/>
      <c r="L37" s="93"/>
      <c r="M37" s="93"/>
      <c r="N37" s="93"/>
      <c r="O37" s="95">
        <f>SUM('Expenses 2025'!$C37:$M37)</f>
        <v>3581.39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184"/>
      <c r="B38" s="215" t="s">
        <v>110</v>
      </c>
      <c r="C38" s="95">
        <f>239000/507</f>
        <v>471.4003945</v>
      </c>
      <c r="D38" s="95">
        <v>377.12</v>
      </c>
      <c r="E38" s="95">
        <v>148.0</v>
      </c>
      <c r="F38" s="93"/>
      <c r="G38" s="95"/>
      <c r="H38" s="92">
        <v>11.83</v>
      </c>
      <c r="I38" s="92">
        <v>145.0</v>
      </c>
      <c r="J38" s="92">
        <v>144.0</v>
      </c>
      <c r="K38" s="92"/>
      <c r="L38" s="93"/>
      <c r="M38" s="93"/>
      <c r="N38" s="93">
        <v>60.0</v>
      </c>
      <c r="O38" s="95">
        <f>SUM('Expenses 2025'!$C38:$M38)</f>
        <v>1297.350394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184"/>
      <c r="B39" s="173" t="s">
        <v>113</v>
      </c>
      <c r="C39" s="93"/>
      <c r="D39" s="95"/>
      <c r="E39" s="95">
        <v>1680.0</v>
      </c>
      <c r="F39" s="93">
        <v>1697.0</v>
      </c>
      <c r="G39" s="95"/>
      <c r="H39" s="92"/>
      <c r="I39" s="92"/>
      <c r="J39" s="92">
        <v>6000.0</v>
      </c>
      <c r="K39" s="92">
        <v>250.0</v>
      </c>
      <c r="L39" s="93">
        <v>250.0</v>
      </c>
      <c r="M39" s="92"/>
      <c r="N39" s="93"/>
      <c r="O39" s="95">
        <f>SUM('Expenses 2025'!$C39:$M39)</f>
        <v>9877</v>
      </c>
      <c r="P39" s="44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184"/>
      <c r="B40" s="173" t="s">
        <v>115</v>
      </c>
      <c r="C40" s="95">
        <f>850222/507</f>
        <v>1676.966469</v>
      </c>
      <c r="D40" s="95">
        <v>503.0</v>
      </c>
      <c r="E40" s="95">
        <v>2500.0</v>
      </c>
      <c r="F40" s="93">
        <v>628.64</v>
      </c>
      <c r="G40" s="95">
        <v>2600.0</v>
      </c>
      <c r="H40" s="92"/>
      <c r="I40" s="92">
        <v>1000.0</v>
      </c>
      <c r="J40" s="92">
        <v>1018.0</v>
      </c>
      <c r="K40" s="92">
        <v>600.0</v>
      </c>
      <c r="L40" s="93">
        <v>609.0</v>
      </c>
      <c r="M40" s="93">
        <v>600.0</v>
      </c>
      <c r="N40" s="93">
        <f>85+114+83+150+85</f>
        <v>517</v>
      </c>
      <c r="O40" s="95">
        <f>SUM('Expenses 2025'!$C40:$M40)</f>
        <v>11735.60647</v>
      </c>
      <c r="P40" s="44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184"/>
      <c r="B41" s="110" t="s">
        <v>38</v>
      </c>
      <c r="C41" s="191">
        <f t="shared" ref="C41:O41" si="7">SUM(C33,C34,C35,C36,C37,C38,C39,C40)</f>
        <v>4577.724852</v>
      </c>
      <c r="D41" s="191">
        <f t="shared" si="7"/>
        <v>2716.12</v>
      </c>
      <c r="E41" s="191">
        <f t="shared" si="7"/>
        <v>6441.02</v>
      </c>
      <c r="F41" s="191">
        <f t="shared" si="7"/>
        <v>4187.67</v>
      </c>
      <c r="G41" s="191">
        <f t="shared" si="7"/>
        <v>3547.7</v>
      </c>
      <c r="H41" s="191">
        <f t="shared" si="7"/>
        <v>458.11</v>
      </c>
      <c r="I41" s="191">
        <f t="shared" si="7"/>
        <v>2135</v>
      </c>
      <c r="J41" s="191">
        <f t="shared" si="7"/>
        <v>8286</v>
      </c>
      <c r="K41" s="191">
        <f t="shared" si="7"/>
        <v>1030</v>
      </c>
      <c r="L41" s="191">
        <f t="shared" si="7"/>
        <v>859</v>
      </c>
      <c r="M41" s="191">
        <f t="shared" si="7"/>
        <v>777</v>
      </c>
      <c r="N41" s="191">
        <f t="shared" si="7"/>
        <v>1082</v>
      </c>
      <c r="O41" s="191">
        <f t="shared" si="7"/>
        <v>35015.34485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184"/>
      <c r="B42" s="222" t="s">
        <v>120</v>
      </c>
      <c r="C42" s="193">
        <v>1070.0</v>
      </c>
      <c r="D42" s="193">
        <v>440.0</v>
      </c>
      <c r="E42" s="193">
        <v>1035.0</v>
      </c>
      <c r="F42" s="193">
        <v>222.88</v>
      </c>
      <c r="G42" s="193">
        <v>1025.64</v>
      </c>
      <c r="H42" s="193">
        <v>631.16</v>
      </c>
      <c r="I42" s="193">
        <v>540.0</v>
      </c>
      <c r="J42" s="193">
        <v>3300.0</v>
      </c>
      <c r="K42" s="193">
        <v>600.0</v>
      </c>
      <c r="L42" s="193">
        <v>1711.0</v>
      </c>
      <c r="M42" s="193">
        <v>2200.0</v>
      </c>
      <c r="N42" s="194">
        <v>1012.0</v>
      </c>
      <c r="O42" s="193">
        <f t="shared" ref="O42:O52" si="8">SUM(C42:N42)</f>
        <v>13787.68</v>
      </c>
      <c r="P42" s="44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184"/>
      <c r="B43" s="195" t="s">
        <v>95</v>
      </c>
      <c r="C43" s="56"/>
      <c r="D43" s="56"/>
      <c r="E43" s="56"/>
      <c r="F43" s="56"/>
      <c r="G43" s="56">
        <v>1145.0</v>
      </c>
      <c r="H43" s="56">
        <v>150.0</v>
      </c>
      <c r="I43" s="56">
        <v>282.0</v>
      </c>
      <c r="J43" s="56">
        <v>600.0</v>
      </c>
      <c r="K43" s="56"/>
      <c r="L43" s="56"/>
      <c r="M43" s="56">
        <v>1147.0</v>
      </c>
      <c r="N43" s="56"/>
      <c r="O43" s="56">
        <f t="shared" si="8"/>
        <v>3324</v>
      </c>
      <c r="P43" s="44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184"/>
      <c r="B44" s="197" t="s">
        <v>96</v>
      </c>
      <c r="C44" s="198">
        <f>22000.00006/507</f>
        <v>43.39250505</v>
      </c>
      <c r="D44" s="198"/>
      <c r="E44" s="198"/>
      <c r="F44" s="198"/>
      <c r="G44" s="198">
        <v>87.38</v>
      </c>
      <c r="H44" s="198"/>
      <c r="I44" s="198"/>
      <c r="J44" s="198">
        <v>292.0</v>
      </c>
      <c r="K44" s="198">
        <v>863.0</v>
      </c>
      <c r="L44" s="198"/>
      <c r="M44" s="198">
        <v>201.0</v>
      </c>
      <c r="N44" s="198"/>
      <c r="O44" s="198">
        <f t="shared" si="8"/>
        <v>1486.772505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184"/>
      <c r="B45" s="199" t="s">
        <v>97</v>
      </c>
      <c r="C45" s="201"/>
      <c r="D45" s="201">
        <v>60.0</v>
      </c>
      <c r="E45" s="201">
        <v>40.0</v>
      </c>
      <c r="F45" s="201"/>
      <c r="G45" s="201"/>
      <c r="H45" s="201"/>
      <c r="I45" s="201"/>
      <c r="J45" s="201">
        <v>381.0</v>
      </c>
      <c r="K45" s="201"/>
      <c r="L45" s="201">
        <v>214.0</v>
      </c>
      <c r="M45" s="201">
        <v>737.0</v>
      </c>
      <c r="N45" s="201"/>
      <c r="O45" s="201">
        <f t="shared" si="8"/>
        <v>1432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184"/>
      <c r="B46" s="199" t="s">
        <v>98</v>
      </c>
      <c r="C46" s="200">
        <f>45950/507</f>
        <v>90.63116371</v>
      </c>
      <c r="D46" s="200">
        <v>619.79</v>
      </c>
      <c r="E46" s="200"/>
      <c r="F46" s="200"/>
      <c r="G46" s="200"/>
      <c r="H46" s="200">
        <v>36.0</v>
      </c>
      <c r="I46" s="200"/>
      <c r="J46" s="200">
        <v>78.0</v>
      </c>
      <c r="K46" s="200"/>
      <c r="L46" s="200"/>
      <c r="M46" s="200">
        <v>600.0</v>
      </c>
      <c r="N46" s="200"/>
      <c r="O46" s="200">
        <f t="shared" si="8"/>
        <v>1424.421164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184"/>
      <c r="B47" s="197" t="s">
        <v>99</v>
      </c>
      <c r="C47" s="198"/>
      <c r="D47" s="198">
        <v>5.0</v>
      </c>
      <c r="E47" s="198">
        <v>387.22</v>
      </c>
      <c r="F47" s="198">
        <v>843.49</v>
      </c>
      <c r="G47" s="198">
        <v>492.14</v>
      </c>
      <c r="H47" s="198">
        <v>150.0</v>
      </c>
      <c r="I47" s="198"/>
      <c r="J47" s="198">
        <v>2790.0</v>
      </c>
      <c r="K47" s="198">
        <v>662.0</v>
      </c>
      <c r="L47" s="198">
        <v>1800.0</v>
      </c>
      <c r="M47" s="198">
        <v>1200.0</v>
      </c>
      <c r="N47" s="198"/>
      <c r="O47" s="198">
        <f t="shared" si="8"/>
        <v>8329.85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184"/>
      <c r="B48" s="207" t="s">
        <v>101</v>
      </c>
      <c r="C48" s="204">
        <f>63705/507</f>
        <v>125.6508876</v>
      </c>
      <c r="D48" s="204">
        <v>715.0</v>
      </c>
      <c r="E48" s="204">
        <v>1352.11</v>
      </c>
      <c r="F48" s="204">
        <v>55.03</v>
      </c>
      <c r="G48" s="204">
        <v>199.7</v>
      </c>
      <c r="H48" s="204">
        <v>263.15</v>
      </c>
      <c r="I48" s="204"/>
      <c r="J48" s="204">
        <v>453.0</v>
      </c>
      <c r="K48" s="204"/>
      <c r="L48" s="204"/>
      <c r="M48" s="204">
        <v>4500.0</v>
      </c>
      <c r="N48" s="205">
        <v>40.0</v>
      </c>
      <c r="O48" s="204">
        <f t="shared" si="8"/>
        <v>7703.640888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184"/>
      <c r="B49" s="208" t="s">
        <v>102</v>
      </c>
      <c r="C49" s="209">
        <f>SUM(C42,C43,C44,C45,C46,C47,C48)</f>
        <v>1329.674556</v>
      </c>
      <c r="D49" s="209">
        <f t="shared" ref="D49:M49" si="9">SUM(D42:D48)</f>
        <v>1839.79</v>
      </c>
      <c r="E49" s="209">
        <f t="shared" si="9"/>
        <v>2814.33</v>
      </c>
      <c r="F49" s="209">
        <f t="shared" si="9"/>
        <v>1121.4</v>
      </c>
      <c r="G49" s="209">
        <f t="shared" si="9"/>
        <v>2949.86</v>
      </c>
      <c r="H49" s="209">
        <f t="shared" si="9"/>
        <v>1230.31</v>
      </c>
      <c r="I49" s="209">
        <f t="shared" si="9"/>
        <v>822</v>
      </c>
      <c r="J49" s="209">
        <f t="shared" si="9"/>
        <v>7894</v>
      </c>
      <c r="K49" s="209">
        <f t="shared" si="9"/>
        <v>2125</v>
      </c>
      <c r="L49" s="210">
        <f t="shared" si="9"/>
        <v>3725</v>
      </c>
      <c r="M49" s="210">
        <f t="shared" si="9"/>
        <v>10585</v>
      </c>
      <c r="N49" s="210"/>
      <c r="O49" s="211">
        <f t="shared" si="8"/>
        <v>36436.36456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184"/>
      <c r="B50" s="212" t="s">
        <v>105</v>
      </c>
      <c r="C50" s="225"/>
      <c r="D50" s="212"/>
      <c r="E50" s="198">
        <v>6776.0</v>
      </c>
      <c r="F50" s="198"/>
      <c r="G50" s="198"/>
      <c r="H50" s="198"/>
      <c r="I50" s="198"/>
      <c r="J50" s="198">
        <v>2474.0</v>
      </c>
      <c r="K50" s="198"/>
      <c r="L50" s="198"/>
      <c r="M50" s="198">
        <v>2267.0</v>
      </c>
      <c r="N50" s="198"/>
      <c r="O50" s="198">
        <f t="shared" si="8"/>
        <v>11517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184"/>
      <c r="B51" s="216" t="s">
        <v>108</v>
      </c>
      <c r="C51" s="200"/>
      <c r="D51" s="200"/>
      <c r="E51" s="200">
        <v>600.0</v>
      </c>
      <c r="F51" s="200"/>
      <c r="G51" s="200"/>
      <c r="H51" s="200"/>
      <c r="I51" s="200"/>
      <c r="J51" s="200">
        <v>680.0</v>
      </c>
      <c r="K51" s="200"/>
      <c r="L51" s="200"/>
      <c r="M51" s="200">
        <v>776.0</v>
      </c>
      <c r="N51" s="200"/>
      <c r="O51" s="200">
        <f t="shared" si="8"/>
        <v>2056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184"/>
      <c r="B52" s="208" t="s">
        <v>109</v>
      </c>
      <c r="C52" s="217"/>
      <c r="D52" s="217"/>
      <c r="E52" s="217">
        <f>SUM(E50:E51)</f>
        <v>7376</v>
      </c>
      <c r="F52" s="217"/>
      <c r="G52" s="217"/>
      <c r="H52" s="217"/>
      <c r="I52" s="217"/>
      <c r="J52" s="217">
        <f>SUM(J50:J51)</f>
        <v>3154</v>
      </c>
      <c r="K52" s="217"/>
      <c r="L52" s="217"/>
      <c r="M52" s="217">
        <f>SUM(M50:M51)</f>
        <v>3043</v>
      </c>
      <c r="N52" s="217"/>
      <c r="O52" s="217">
        <f t="shared" si="8"/>
        <v>13573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184"/>
      <c r="B53" s="122" t="s">
        <v>111</v>
      </c>
      <c r="C53" s="86" t="s">
        <v>20</v>
      </c>
      <c r="D53" s="86" t="s">
        <v>21</v>
      </c>
      <c r="E53" s="86" t="s">
        <v>22</v>
      </c>
      <c r="F53" s="86" t="s">
        <v>23</v>
      </c>
      <c r="G53" s="86" t="s">
        <v>24</v>
      </c>
      <c r="H53" s="86" t="s">
        <v>25</v>
      </c>
      <c r="I53" s="86" t="s">
        <v>26</v>
      </c>
      <c r="J53" s="86" t="s">
        <v>27</v>
      </c>
      <c r="K53" s="86" t="s">
        <v>28</v>
      </c>
      <c r="L53" s="86" t="s">
        <v>29</v>
      </c>
      <c r="M53" s="86" t="s">
        <v>30</v>
      </c>
      <c r="N53" s="86" t="s">
        <v>31</v>
      </c>
      <c r="O53" s="86" t="s">
        <v>32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184"/>
      <c r="B54" s="137" t="s">
        <v>112</v>
      </c>
      <c r="C54" s="106">
        <v>5079.0</v>
      </c>
      <c r="D54" s="95">
        <v>3835.0</v>
      </c>
      <c r="E54" s="92">
        <v>4083.0</v>
      </c>
      <c r="F54" s="92">
        <v>3334.0</v>
      </c>
      <c r="G54" s="95">
        <v>1630.0</v>
      </c>
      <c r="H54" s="92">
        <v>800.0</v>
      </c>
      <c r="I54" s="92">
        <v>1716.0</v>
      </c>
      <c r="J54" s="92">
        <v>2218.0</v>
      </c>
      <c r="K54" s="92">
        <v>2196.4</v>
      </c>
      <c r="L54" s="93">
        <v>805.61</v>
      </c>
      <c r="M54" s="93">
        <v>1669.0</v>
      </c>
      <c r="N54" s="128">
        <v>2982.0</v>
      </c>
      <c r="O54" s="95">
        <f t="shared" ref="O54:O58" si="10">SUM(C54:N54)</f>
        <v>30348.01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184"/>
      <c r="B55" s="137" t="s">
        <v>114</v>
      </c>
      <c r="C55" s="92">
        <v>2913.0</v>
      </c>
      <c r="D55" s="92">
        <v>2548.0</v>
      </c>
      <c r="E55" s="92">
        <v>4858.0</v>
      </c>
      <c r="F55" s="92">
        <v>3830.0</v>
      </c>
      <c r="G55" s="92">
        <v>4030.0</v>
      </c>
      <c r="H55" s="92">
        <v>2123.0</v>
      </c>
      <c r="I55" s="92">
        <v>2098.0</v>
      </c>
      <c r="J55" s="92">
        <v>2114.74</v>
      </c>
      <c r="K55" s="92">
        <v>1791.0</v>
      </c>
      <c r="L55" s="92">
        <v>791.0</v>
      </c>
      <c r="M55" s="92">
        <v>1900.0</v>
      </c>
      <c r="N55" s="92">
        <v>1900.0</v>
      </c>
      <c r="O55" s="95">
        <f t="shared" si="10"/>
        <v>30896.74</v>
      </c>
      <c r="P55" s="219"/>
      <c r="Q55" s="219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184"/>
      <c r="B56" s="88" t="s">
        <v>116</v>
      </c>
      <c r="C56" s="103">
        <v>1941.0</v>
      </c>
      <c r="D56" s="103">
        <v>1941.0</v>
      </c>
      <c r="E56" s="104">
        <v>1941.0</v>
      </c>
      <c r="F56" s="104">
        <v>1941.0</v>
      </c>
      <c r="G56" s="104">
        <v>1941.0</v>
      </c>
      <c r="H56" s="104">
        <v>1941.0</v>
      </c>
      <c r="I56" s="104">
        <v>1941.0</v>
      </c>
      <c r="J56" s="104">
        <v>1941.0</v>
      </c>
      <c r="K56" s="104">
        <v>1941.0</v>
      </c>
      <c r="L56" s="104">
        <v>1941.0</v>
      </c>
      <c r="M56" s="104">
        <v>1941.0</v>
      </c>
      <c r="N56" s="92">
        <v>1941.0</v>
      </c>
      <c r="O56" s="95">
        <f t="shared" si="10"/>
        <v>23292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184"/>
      <c r="B57" s="88" t="s">
        <v>117</v>
      </c>
      <c r="C57" s="136">
        <v>920.0</v>
      </c>
      <c r="D57" s="136">
        <v>888.0</v>
      </c>
      <c r="E57" s="136">
        <v>904.0</v>
      </c>
      <c r="F57" s="136">
        <v>707.0</v>
      </c>
      <c r="G57" s="136">
        <v>210.0</v>
      </c>
      <c r="H57" s="136">
        <v>233.0</v>
      </c>
      <c r="I57" s="136">
        <v>376.0</v>
      </c>
      <c r="J57" s="136">
        <v>521.0</v>
      </c>
      <c r="K57" s="136">
        <v>438.0</v>
      </c>
      <c r="L57" s="136">
        <v>171.0</v>
      </c>
      <c r="M57" s="136">
        <v>430.0</v>
      </c>
      <c r="N57" s="128">
        <v>608.0</v>
      </c>
      <c r="O57" s="95">
        <f t="shared" si="10"/>
        <v>6406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184"/>
      <c r="B58" s="173" t="s">
        <v>118</v>
      </c>
      <c r="C58" s="93">
        <v>39.0</v>
      </c>
      <c r="D58" s="95">
        <v>26.0</v>
      </c>
      <c r="E58" s="95">
        <v>62.0</v>
      </c>
      <c r="F58" s="93">
        <v>31.0</v>
      </c>
      <c r="G58" s="95">
        <v>49.0</v>
      </c>
      <c r="H58" s="92">
        <v>47.0</v>
      </c>
      <c r="I58" s="92">
        <v>44.0</v>
      </c>
      <c r="J58" s="92">
        <v>31.0</v>
      </c>
      <c r="K58" s="92">
        <v>56.0</v>
      </c>
      <c r="L58" s="93">
        <v>32.0</v>
      </c>
      <c r="M58" s="92">
        <v>40.0</v>
      </c>
      <c r="N58" s="128">
        <v>148.0</v>
      </c>
      <c r="O58" s="95">
        <f t="shared" si="10"/>
        <v>605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184"/>
      <c r="B59" s="110" t="s">
        <v>38</v>
      </c>
      <c r="C59" s="191">
        <f t="shared" ref="C59:O59" si="11">SUM(C54,C55,C56,C57,C58)</f>
        <v>10892</v>
      </c>
      <c r="D59" s="191">
        <f t="shared" si="11"/>
        <v>9238</v>
      </c>
      <c r="E59" s="191">
        <f t="shared" si="11"/>
        <v>11848</v>
      </c>
      <c r="F59" s="191">
        <f t="shared" si="11"/>
        <v>9843</v>
      </c>
      <c r="G59" s="191">
        <f t="shared" si="11"/>
        <v>7860</v>
      </c>
      <c r="H59" s="191">
        <f t="shared" si="11"/>
        <v>5144</v>
      </c>
      <c r="I59" s="191">
        <f t="shared" si="11"/>
        <v>6175</v>
      </c>
      <c r="J59" s="191">
        <f t="shared" si="11"/>
        <v>6825.74</v>
      </c>
      <c r="K59" s="191">
        <f t="shared" si="11"/>
        <v>6422.4</v>
      </c>
      <c r="L59" s="191">
        <f t="shared" si="11"/>
        <v>3740.61</v>
      </c>
      <c r="M59" s="191">
        <f t="shared" si="11"/>
        <v>5980</v>
      </c>
      <c r="N59" s="191">
        <f t="shared" si="11"/>
        <v>7579</v>
      </c>
      <c r="O59" s="191">
        <f t="shared" si="11"/>
        <v>91547.75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184"/>
      <c r="B60" s="221" t="s">
        <v>119</v>
      </c>
      <c r="C60" s="121">
        <f t="shared" ref="C60:O60" si="12">SUM(C12,C31,C41,C49,C52,C59)</f>
        <v>29783.16801</v>
      </c>
      <c r="D60" s="121">
        <f t="shared" si="12"/>
        <v>39692.99296</v>
      </c>
      <c r="E60" s="121">
        <f t="shared" si="12"/>
        <v>40568.94467</v>
      </c>
      <c r="F60" s="121">
        <f t="shared" si="12"/>
        <v>28814.16467</v>
      </c>
      <c r="G60" s="121">
        <f t="shared" si="12"/>
        <v>28875.06467</v>
      </c>
      <c r="H60" s="121">
        <f t="shared" si="12"/>
        <v>20134.20467</v>
      </c>
      <c r="I60" s="121">
        <f t="shared" si="12"/>
        <v>21608.05755</v>
      </c>
      <c r="J60" s="121">
        <f t="shared" si="12"/>
        <v>39741.89467</v>
      </c>
      <c r="K60" s="121">
        <f t="shared" si="12"/>
        <v>22423.58467</v>
      </c>
      <c r="L60" s="121">
        <f t="shared" si="12"/>
        <v>22405.46467</v>
      </c>
      <c r="M60" s="121">
        <f t="shared" si="12"/>
        <v>34517.85467</v>
      </c>
      <c r="N60" s="121">
        <f t="shared" si="12"/>
        <v>29884.08</v>
      </c>
      <c r="O60" s="121">
        <f t="shared" si="12"/>
        <v>357367.4759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184"/>
      <c r="B61" s="153"/>
      <c r="O61" s="15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184"/>
      <c r="B62" s="219"/>
      <c r="O62" s="21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184"/>
      <c r="B63" s="22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184"/>
      <c r="B64" s="224"/>
      <c r="O64" s="153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184"/>
      <c r="B65" s="224"/>
      <c r="C65" s="161"/>
      <c r="D65" s="161"/>
      <c r="E65" s="142"/>
      <c r="F65" s="153"/>
      <c r="G65" s="161"/>
      <c r="H65" s="161"/>
      <c r="I65" s="161"/>
      <c r="J65" s="161"/>
      <c r="K65" s="161"/>
      <c r="L65" s="161"/>
      <c r="M65" s="161"/>
      <c r="N65" s="161"/>
      <c r="O65" s="153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184"/>
      <c r="B66" s="224"/>
      <c r="C66" s="161"/>
      <c r="D66" s="161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184"/>
      <c r="B67" s="224"/>
      <c r="C67" s="161"/>
      <c r="D67" s="161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184"/>
      <c r="B68" s="224"/>
      <c r="C68" s="161"/>
      <c r="D68" s="161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184"/>
      <c r="B69" s="224"/>
      <c r="C69" s="161"/>
      <c r="D69" s="161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184"/>
      <c r="B70" s="224"/>
      <c r="C70" s="161"/>
      <c r="D70" s="161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184"/>
      <c r="B71" s="224"/>
      <c r="C71" s="161"/>
      <c r="D71" s="161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184"/>
      <c r="B72" s="224"/>
      <c r="C72" s="161"/>
      <c r="D72" s="161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184"/>
      <c r="B73" s="224"/>
      <c r="C73" s="161"/>
      <c r="D73" s="161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184"/>
      <c r="B74" s="224"/>
      <c r="C74" s="161"/>
      <c r="D74" s="161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184"/>
      <c r="B75" s="224"/>
      <c r="C75" s="161"/>
      <c r="D75" s="161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184"/>
      <c r="B76" s="224"/>
      <c r="C76" s="161"/>
      <c r="D76" s="161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184"/>
      <c r="B77" s="224"/>
      <c r="C77" s="161"/>
      <c r="D77" s="161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184"/>
      <c r="B78" s="224"/>
      <c r="C78" s="161"/>
      <c r="D78" s="161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184"/>
      <c r="B79" s="224"/>
      <c r="C79" s="161"/>
      <c r="D79" s="161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184"/>
      <c r="B80" s="224"/>
      <c r="C80" s="161"/>
      <c r="D80" s="161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184"/>
      <c r="B81" s="224"/>
      <c r="C81" s="161"/>
      <c r="D81" s="161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184"/>
      <c r="B82" s="224"/>
      <c r="C82" s="161"/>
      <c r="D82" s="161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184"/>
      <c r="B83" s="224"/>
      <c r="C83" s="161"/>
      <c r="D83" s="161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184"/>
      <c r="B84" s="224"/>
      <c r="C84" s="161"/>
      <c r="D84" s="161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184"/>
      <c r="B85" s="224"/>
      <c r="C85" s="161"/>
      <c r="D85" s="161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184"/>
      <c r="B86" s="224"/>
      <c r="C86" s="161"/>
      <c r="D86" s="161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184"/>
      <c r="B87" s="224"/>
      <c r="C87" s="161"/>
      <c r="D87" s="161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184"/>
      <c r="B88" s="224"/>
      <c r="C88" s="161"/>
      <c r="D88" s="161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184"/>
      <c r="B89" s="224"/>
      <c r="C89" s="161"/>
      <c r="D89" s="161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184"/>
      <c r="B90" s="224"/>
      <c r="C90" s="161"/>
      <c r="D90" s="161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184"/>
      <c r="B91" s="224"/>
      <c r="C91" s="161"/>
      <c r="D91" s="161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184"/>
      <c r="B92" s="224"/>
      <c r="C92" s="161"/>
      <c r="D92" s="161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184"/>
      <c r="B93" s="224"/>
      <c r="C93" s="161"/>
      <c r="D93" s="161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184"/>
      <c r="B94" s="224"/>
      <c r="C94" s="161"/>
      <c r="D94" s="161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184"/>
      <c r="B95" s="224"/>
      <c r="C95" s="161"/>
      <c r="D95" s="161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184"/>
      <c r="B96" s="224"/>
      <c r="C96" s="161"/>
      <c r="D96" s="161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184"/>
      <c r="B97" s="224"/>
      <c r="C97" s="161"/>
      <c r="D97" s="161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184"/>
      <c r="B98" s="224"/>
      <c r="C98" s="161"/>
      <c r="D98" s="161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184"/>
      <c r="B99" s="224"/>
      <c r="C99" s="161"/>
      <c r="D99" s="161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184"/>
      <c r="B100" s="224"/>
      <c r="C100" s="161"/>
      <c r="D100" s="161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184"/>
      <c r="B101" s="224"/>
      <c r="C101" s="161"/>
      <c r="D101" s="161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184"/>
      <c r="B102" s="224"/>
      <c r="C102" s="161"/>
      <c r="D102" s="161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184"/>
      <c r="B103" s="224"/>
      <c r="C103" s="161"/>
      <c r="D103" s="161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184"/>
      <c r="B104" s="224"/>
      <c r="C104" s="161"/>
      <c r="D104" s="161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184"/>
      <c r="B105" s="224"/>
      <c r="C105" s="161"/>
      <c r="D105" s="161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184"/>
      <c r="B106" s="224"/>
      <c r="C106" s="161"/>
      <c r="D106" s="161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184"/>
      <c r="B107" s="224"/>
      <c r="C107" s="161"/>
      <c r="D107" s="161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184"/>
      <c r="B108" s="224"/>
      <c r="C108" s="161"/>
      <c r="D108" s="161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184"/>
      <c r="B109" s="224"/>
      <c r="C109" s="161"/>
      <c r="D109" s="161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184"/>
      <c r="B110" s="224"/>
      <c r="C110" s="161"/>
      <c r="D110" s="161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184"/>
      <c r="B111" s="224"/>
      <c r="C111" s="161"/>
      <c r="D111" s="161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184"/>
      <c r="B112" s="224"/>
      <c r="C112" s="161"/>
      <c r="D112" s="161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184"/>
      <c r="B113" s="224"/>
      <c r="C113" s="161"/>
      <c r="D113" s="161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184"/>
      <c r="B114" s="224"/>
      <c r="C114" s="161"/>
      <c r="D114" s="161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184"/>
      <c r="B115" s="224"/>
      <c r="C115" s="161"/>
      <c r="D115" s="161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184"/>
      <c r="B116" s="224"/>
      <c r="C116" s="161"/>
      <c r="D116" s="161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184"/>
      <c r="B117" s="224"/>
      <c r="C117" s="161"/>
      <c r="D117" s="161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184"/>
      <c r="B118" s="224"/>
      <c r="C118" s="161"/>
      <c r="D118" s="161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184"/>
      <c r="B119" s="224"/>
      <c r="C119" s="161"/>
      <c r="D119" s="161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184"/>
      <c r="B120" s="224"/>
      <c r="C120" s="161"/>
      <c r="D120" s="161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184"/>
      <c r="B121" s="224"/>
      <c r="C121" s="161"/>
      <c r="D121" s="161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184"/>
      <c r="B122" s="224"/>
      <c r="C122" s="161"/>
      <c r="D122" s="161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184"/>
      <c r="B123" s="224"/>
      <c r="C123" s="161"/>
      <c r="D123" s="161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184"/>
      <c r="B124" s="224"/>
      <c r="C124" s="161"/>
      <c r="D124" s="161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184"/>
      <c r="B125" s="224"/>
      <c r="C125" s="161"/>
      <c r="D125" s="161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184"/>
      <c r="B126" s="224"/>
      <c r="C126" s="161"/>
      <c r="D126" s="161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184"/>
      <c r="B127" s="224"/>
      <c r="C127" s="161"/>
      <c r="D127" s="161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184"/>
      <c r="B128" s="224"/>
      <c r="C128" s="161"/>
      <c r="D128" s="161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184"/>
      <c r="B129" s="224"/>
      <c r="C129" s="161"/>
      <c r="D129" s="161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184"/>
      <c r="B130" s="224"/>
      <c r="C130" s="161"/>
      <c r="D130" s="161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184"/>
      <c r="B131" s="224"/>
      <c r="C131" s="161"/>
      <c r="D131" s="161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184"/>
      <c r="B132" s="224"/>
      <c r="C132" s="161"/>
      <c r="D132" s="161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184"/>
      <c r="B133" s="224"/>
      <c r="C133" s="161"/>
      <c r="D133" s="161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184"/>
      <c r="B134" s="224"/>
      <c r="C134" s="161"/>
      <c r="D134" s="161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184"/>
      <c r="B135" s="224"/>
      <c r="C135" s="161"/>
      <c r="D135" s="161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184"/>
      <c r="B136" s="224"/>
      <c r="C136" s="161"/>
      <c r="D136" s="161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184"/>
      <c r="B137" s="224"/>
      <c r="C137" s="161"/>
      <c r="D137" s="161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184"/>
      <c r="B138" s="224"/>
      <c r="C138" s="161"/>
      <c r="D138" s="161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184"/>
      <c r="B139" s="224"/>
      <c r="C139" s="161"/>
      <c r="D139" s="161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184"/>
      <c r="B140" s="224"/>
      <c r="C140" s="161"/>
      <c r="D140" s="161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184"/>
      <c r="B141" s="224"/>
      <c r="C141" s="161"/>
      <c r="D141" s="161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184"/>
      <c r="B142" s="224"/>
      <c r="C142" s="161"/>
      <c r="D142" s="161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184"/>
      <c r="B143" s="224"/>
      <c r="C143" s="161"/>
      <c r="D143" s="161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184"/>
      <c r="B144" s="224"/>
      <c r="C144" s="161"/>
      <c r="D144" s="161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184"/>
      <c r="B145" s="224"/>
      <c r="C145" s="161"/>
      <c r="D145" s="161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184"/>
      <c r="B146" s="224"/>
      <c r="C146" s="161"/>
      <c r="D146" s="161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184"/>
      <c r="B147" s="224"/>
      <c r="C147" s="161"/>
      <c r="D147" s="161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184"/>
      <c r="B148" s="224"/>
      <c r="C148" s="161"/>
      <c r="D148" s="161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184"/>
      <c r="B149" s="224"/>
      <c r="C149" s="161"/>
      <c r="D149" s="161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184"/>
      <c r="B150" s="224"/>
      <c r="C150" s="161"/>
      <c r="D150" s="161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184"/>
      <c r="B151" s="224"/>
      <c r="C151" s="161"/>
      <c r="D151" s="161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184"/>
      <c r="B152" s="224"/>
      <c r="C152" s="161"/>
      <c r="D152" s="161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184"/>
      <c r="B153" s="224"/>
      <c r="C153" s="161"/>
      <c r="D153" s="161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184"/>
      <c r="B154" s="224"/>
      <c r="C154" s="161"/>
      <c r="D154" s="161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184"/>
      <c r="B155" s="224"/>
      <c r="C155" s="161"/>
      <c r="D155" s="161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184"/>
      <c r="B156" s="224"/>
      <c r="C156" s="161"/>
      <c r="D156" s="161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184"/>
      <c r="B157" s="224"/>
      <c r="C157" s="161"/>
      <c r="D157" s="161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184"/>
      <c r="B158" s="224"/>
      <c r="C158" s="161"/>
      <c r="D158" s="161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184"/>
      <c r="B159" s="224"/>
      <c r="C159" s="161"/>
      <c r="D159" s="161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184"/>
      <c r="B160" s="224"/>
      <c r="C160" s="161"/>
      <c r="D160" s="161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184"/>
      <c r="B161" s="224"/>
      <c r="C161" s="161"/>
      <c r="D161" s="161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184"/>
      <c r="B162" s="224"/>
      <c r="C162" s="161"/>
      <c r="D162" s="161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184"/>
      <c r="B163" s="224"/>
      <c r="C163" s="161"/>
      <c r="D163" s="161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184"/>
      <c r="B164" s="224"/>
      <c r="C164" s="161"/>
      <c r="D164" s="161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184"/>
      <c r="B165" s="224"/>
      <c r="C165" s="161"/>
      <c r="D165" s="161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184"/>
      <c r="B166" s="224"/>
      <c r="C166" s="161"/>
      <c r="D166" s="161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184"/>
      <c r="B167" s="224"/>
      <c r="C167" s="161"/>
      <c r="D167" s="161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184"/>
      <c r="B168" s="224"/>
      <c r="C168" s="161"/>
      <c r="D168" s="161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184"/>
      <c r="B169" s="224"/>
      <c r="C169" s="161"/>
      <c r="D169" s="161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184"/>
      <c r="B170" s="224"/>
      <c r="C170" s="161"/>
      <c r="D170" s="161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184"/>
      <c r="B171" s="224"/>
      <c r="C171" s="161"/>
      <c r="D171" s="161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184"/>
      <c r="B172" s="224"/>
      <c r="C172" s="161"/>
      <c r="D172" s="161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184"/>
      <c r="B173" s="224"/>
      <c r="C173" s="161"/>
      <c r="D173" s="161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184"/>
      <c r="B174" s="224"/>
      <c r="C174" s="161"/>
      <c r="D174" s="161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184"/>
      <c r="B175" s="224"/>
      <c r="C175" s="161"/>
      <c r="D175" s="161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184"/>
      <c r="B176" s="224"/>
      <c r="C176" s="161"/>
      <c r="D176" s="161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184"/>
      <c r="B177" s="224"/>
      <c r="C177" s="161"/>
      <c r="D177" s="161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184"/>
      <c r="B178" s="224"/>
      <c r="C178" s="161"/>
      <c r="D178" s="161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184"/>
      <c r="B179" s="224"/>
      <c r="C179" s="161"/>
      <c r="D179" s="161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184"/>
      <c r="B180" s="224"/>
      <c r="C180" s="161"/>
      <c r="D180" s="161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184"/>
      <c r="B181" s="224"/>
      <c r="C181" s="161"/>
      <c r="D181" s="161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184"/>
      <c r="B182" s="224"/>
      <c r="C182" s="161"/>
      <c r="D182" s="161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184"/>
      <c r="B183" s="224"/>
      <c r="C183" s="161"/>
      <c r="D183" s="161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184"/>
      <c r="B184" s="224"/>
      <c r="C184" s="161"/>
      <c r="D184" s="161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184"/>
      <c r="B185" s="224"/>
      <c r="C185" s="161"/>
      <c r="D185" s="161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184"/>
      <c r="B186" s="224"/>
      <c r="C186" s="161"/>
      <c r="D186" s="161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184"/>
      <c r="B187" s="224"/>
      <c r="C187" s="161"/>
      <c r="D187" s="161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184"/>
      <c r="B188" s="224"/>
      <c r="C188" s="161"/>
      <c r="D188" s="161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184"/>
      <c r="B189" s="224"/>
      <c r="C189" s="161"/>
      <c r="D189" s="161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184"/>
      <c r="B190" s="224"/>
      <c r="C190" s="161"/>
      <c r="D190" s="161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184"/>
      <c r="B191" s="224"/>
      <c r="C191" s="161"/>
      <c r="D191" s="161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184"/>
      <c r="B192" s="224"/>
      <c r="C192" s="161"/>
      <c r="D192" s="161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184"/>
      <c r="B193" s="224"/>
      <c r="C193" s="161"/>
      <c r="D193" s="161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184"/>
      <c r="B194" s="224"/>
      <c r="C194" s="161"/>
      <c r="D194" s="161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184"/>
      <c r="B195" s="224"/>
      <c r="C195" s="161"/>
      <c r="D195" s="161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184"/>
      <c r="B196" s="224"/>
      <c r="C196" s="161"/>
      <c r="D196" s="161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184"/>
      <c r="B197" s="224"/>
      <c r="C197" s="161"/>
      <c r="D197" s="161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184"/>
      <c r="B198" s="224"/>
      <c r="C198" s="161"/>
      <c r="D198" s="161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184"/>
      <c r="B199" s="224"/>
      <c r="C199" s="161"/>
      <c r="D199" s="161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184"/>
      <c r="B200" s="224"/>
      <c r="C200" s="161"/>
      <c r="D200" s="161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184"/>
      <c r="B201" s="224"/>
      <c r="C201" s="161"/>
      <c r="D201" s="161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184"/>
      <c r="B202" s="224"/>
      <c r="C202" s="161"/>
      <c r="D202" s="161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184"/>
      <c r="B203" s="224"/>
      <c r="C203" s="161"/>
      <c r="D203" s="161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184"/>
      <c r="B204" s="224"/>
      <c r="C204" s="161"/>
      <c r="D204" s="161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184"/>
      <c r="B205" s="224"/>
      <c r="C205" s="161"/>
      <c r="D205" s="161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184"/>
      <c r="B206" s="224"/>
      <c r="C206" s="161"/>
      <c r="D206" s="161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184"/>
      <c r="B207" s="224"/>
      <c r="C207" s="161"/>
      <c r="D207" s="161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184"/>
      <c r="B208" s="224"/>
      <c r="C208" s="161"/>
      <c r="D208" s="161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184"/>
      <c r="B209" s="224"/>
      <c r="C209" s="161"/>
      <c r="D209" s="161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184"/>
      <c r="B210" s="224"/>
      <c r="C210" s="161"/>
      <c r="D210" s="161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184"/>
      <c r="B211" s="224"/>
      <c r="C211" s="161"/>
      <c r="D211" s="161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184"/>
      <c r="B212" s="224"/>
      <c r="C212" s="161"/>
      <c r="D212" s="161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184"/>
      <c r="B213" s="224"/>
      <c r="C213" s="161"/>
      <c r="D213" s="161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184"/>
      <c r="B214" s="224"/>
      <c r="C214" s="161"/>
      <c r="D214" s="161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184"/>
      <c r="B215" s="224"/>
      <c r="C215" s="161"/>
      <c r="D215" s="161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184"/>
      <c r="B216" s="224"/>
      <c r="C216" s="161"/>
      <c r="D216" s="161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184"/>
      <c r="B217" s="224"/>
      <c r="C217" s="161"/>
      <c r="D217" s="161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184"/>
      <c r="B218" s="224"/>
      <c r="C218" s="161"/>
      <c r="D218" s="161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184"/>
      <c r="B219" s="224"/>
      <c r="C219" s="161"/>
      <c r="D219" s="161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184"/>
      <c r="B220" s="224"/>
      <c r="C220" s="161"/>
      <c r="D220" s="161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184"/>
      <c r="B221" s="224"/>
      <c r="C221" s="161"/>
      <c r="D221" s="161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184"/>
      <c r="B222" s="224"/>
      <c r="C222" s="161"/>
      <c r="D222" s="161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184"/>
      <c r="B223" s="224"/>
      <c r="C223" s="161"/>
      <c r="D223" s="161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184"/>
      <c r="B224" s="224"/>
      <c r="C224" s="161"/>
      <c r="D224" s="161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184"/>
      <c r="B225" s="224"/>
      <c r="C225" s="161"/>
      <c r="D225" s="161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184"/>
      <c r="B226" s="224"/>
      <c r="C226" s="161"/>
      <c r="D226" s="161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184"/>
      <c r="B227" s="224"/>
      <c r="C227" s="161"/>
      <c r="D227" s="161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184"/>
      <c r="B228" s="224"/>
      <c r="C228" s="161"/>
      <c r="D228" s="161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184"/>
      <c r="B229" s="224"/>
      <c r="C229" s="161"/>
      <c r="D229" s="161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184"/>
      <c r="B230" s="224"/>
      <c r="C230" s="161"/>
      <c r="D230" s="161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184"/>
      <c r="B231" s="224"/>
      <c r="C231" s="161"/>
      <c r="D231" s="161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184"/>
      <c r="B232" s="224"/>
      <c r="C232" s="161"/>
      <c r="D232" s="161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184"/>
      <c r="B233" s="224"/>
      <c r="C233" s="161"/>
      <c r="D233" s="161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184"/>
      <c r="B234" s="224"/>
      <c r="C234" s="161"/>
      <c r="D234" s="161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184"/>
      <c r="B235" s="224"/>
      <c r="C235" s="161"/>
      <c r="D235" s="161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184"/>
      <c r="B236" s="224"/>
      <c r="C236" s="161"/>
      <c r="D236" s="161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184"/>
      <c r="B237" s="224"/>
      <c r="C237" s="161"/>
      <c r="D237" s="161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184"/>
      <c r="B238" s="224"/>
      <c r="C238" s="161"/>
      <c r="D238" s="161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184"/>
      <c r="B239" s="224"/>
      <c r="C239" s="161"/>
      <c r="D239" s="161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184"/>
      <c r="B240" s="224"/>
      <c r="C240" s="161"/>
      <c r="D240" s="161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184"/>
      <c r="B241" s="224"/>
      <c r="C241" s="161"/>
      <c r="D241" s="161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184"/>
      <c r="B242" s="224"/>
      <c r="C242" s="161"/>
      <c r="D242" s="161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184"/>
      <c r="B243" s="224"/>
      <c r="C243" s="161"/>
      <c r="D243" s="161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184"/>
      <c r="B244" s="224"/>
      <c r="C244" s="161"/>
      <c r="D244" s="161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184"/>
      <c r="B245" s="224"/>
      <c r="C245" s="161"/>
      <c r="D245" s="161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184"/>
      <c r="B246" s="224"/>
      <c r="C246" s="161"/>
      <c r="D246" s="161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184"/>
      <c r="B247" s="224"/>
      <c r="C247" s="161"/>
      <c r="D247" s="161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184"/>
      <c r="B248" s="224"/>
      <c r="C248" s="161"/>
      <c r="D248" s="161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184"/>
      <c r="B249" s="224"/>
      <c r="C249" s="161"/>
      <c r="D249" s="161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184"/>
      <c r="B250" s="224"/>
      <c r="C250" s="161"/>
      <c r="D250" s="161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184"/>
      <c r="B251" s="224"/>
      <c r="C251" s="161"/>
      <c r="D251" s="161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184"/>
      <c r="B252" s="224"/>
      <c r="C252" s="161"/>
      <c r="D252" s="161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184"/>
      <c r="B253" s="224"/>
      <c r="C253" s="161"/>
      <c r="D253" s="161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184"/>
      <c r="B254" s="224"/>
      <c r="C254" s="161"/>
      <c r="D254" s="161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184"/>
      <c r="B255" s="224"/>
      <c r="C255" s="161"/>
      <c r="D255" s="161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184"/>
      <c r="B256" s="224"/>
      <c r="C256" s="161"/>
      <c r="D256" s="161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184"/>
      <c r="B257" s="224"/>
      <c r="C257" s="161"/>
      <c r="D257" s="161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184"/>
      <c r="B258" s="224"/>
      <c r="C258" s="161"/>
      <c r="D258" s="161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184"/>
      <c r="B259" s="224"/>
      <c r="C259" s="161"/>
      <c r="D259" s="161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184"/>
      <c r="B260" s="224"/>
      <c r="C260" s="161"/>
      <c r="D260" s="161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184"/>
      <c r="B261" s="224"/>
      <c r="C261" s="161"/>
      <c r="D261" s="161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184"/>
      <c r="B262" s="224"/>
      <c r="C262" s="161"/>
      <c r="D262" s="161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184"/>
      <c r="B263" s="224"/>
      <c r="C263" s="161"/>
      <c r="D263" s="161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184"/>
      <c r="B264" s="224"/>
      <c r="C264" s="161"/>
      <c r="D264" s="161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184"/>
      <c r="B265" s="224"/>
      <c r="C265" s="161"/>
      <c r="D265" s="161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184"/>
      <c r="B266" s="224"/>
      <c r="C266" s="161"/>
      <c r="D266" s="161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184"/>
      <c r="B267" s="224"/>
      <c r="C267" s="161"/>
      <c r="D267" s="161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184"/>
      <c r="B268" s="224"/>
      <c r="C268" s="161"/>
      <c r="D268" s="161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184"/>
      <c r="B269" s="224"/>
      <c r="C269" s="161"/>
      <c r="D269" s="161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184"/>
      <c r="B270" s="224"/>
      <c r="C270" s="161"/>
      <c r="D270" s="161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184"/>
      <c r="B271" s="224"/>
      <c r="C271" s="161"/>
      <c r="D271" s="161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184"/>
      <c r="B272" s="224"/>
      <c r="C272" s="161"/>
      <c r="D272" s="161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184"/>
      <c r="B273" s="224"/>
      <c r="C273" s="161"/>
      <c r="D273" s="161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184"/>
      <c r="B274" s="224"/>
      <c r="C274" s="161"/>
      <c r="D274" s="161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184"/>
      <c r="B275" s="224"/>
      <c r="C275" s="161"/>
      <c r="D275" s="161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184"/>
      <c r="B276" s="224"/>
      <c r="C276" s="161"/>
      <c r="D276" s="161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184"/>
      <c r="B277" s="224"/>
      <c r="C277" s="161"/>
      <c r="D277" s="161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184"/>
      <c r="B278" s="224"/>
      <c r="C278" s="161"/>
      <c r="D278" s="161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184"/>
      <c r="B279" s="224"/>
      <c r="C279" s="161"/>
      <c r="D279" s="161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184"/>
      <c r="B280" s="224"/>
      <c r="C280" s="161"/>
      <c r="D280" s="161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184"/>
      <c r="B281" s="224"/>
      <c r="C281" s="161"/>
      <c r="D281" s="161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184"/>
      <c r="B282" s="224"/>
      <c r="C282" s="161"/>
      <c r="D282" s="161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184"/>
      <c r="B283" s="224"/>
      <c r="C283" s="161"/>
      <c r="D283" s="161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184"/>
      <c r="B284" s="224"/>
      <c r="C284" s="161"/>
      <c r="D284" s="161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184"/>
      <c r="B285" s="224"/>
      <c r="C285" s="161"/>
      <c r="D285" s="161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184"/>
      <c r="B286" s="224"/>
      <c r="C286" s="161"/>
      <c r="D286" s="161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184"/>
      <c r="B287" s="224"/>
      <c r="C287" s="161"/>
      <c r="D287" s="161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184"/>
      <c r="B288" s="224"/>
      <c r="C288" s="161"/>
      <c r="D288" s="161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184"/>
      <c r="B289" s="224"/>
      <c r="C289" s="161"/>
      <c r="D289" s="161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184"/>
      <c r="B290" s="224"/>
      <c r="C290" s="161"/>
      <c r="D290" s="161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184"/>
      <c r="B291" s="224"/>
      <c r="C291" s="161"/>
      <c r="D291" s="161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184"/>
      <c r="B292" s="224"/>
      <c r="C292" s="161"/>
      <c r="D292" s="161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184"/>
      <c r="B293" s="224"/>
      <c r="C293" s="161"/>
      <c r="D293" s="161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184"/>
      <c r="B294" s="224"/>
      <c r="C294" s="161"/>
      <c r="D294" s="161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184"/>
      <c r="B295" s="224"/>
      <c r="C295" s="161"/>
      <c r="D295" s="161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184"/>
      <c r="B296" s="224"/>
      <c r="C296" s="161"/>
      <c r="D296" s="161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184"/>
      <c r="B297" s="224"/>
      <c r="C297" s="161"/>
      <c r="D297" s="161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184"/>
      <c r="B298" s="224"/>
      <c r="C298" s="161"/>
      <c r="D298" s="161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184"/>
      <c r="B299" s="224"/>
      <c r="C299" s="161"/>
      <c r="D299" s="161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184"/>
      <c r="B300" s="224"/>
      <c r="C300" s="161"/>
      <c r="D300" s="161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184"/>
      <c r="B301" s="224"/>
      <c r="C301" s="161"/>
      <c r="D301" s="161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184"/>
      <c r="B302" s="224"/>
      <c r="C302" s="161"/>
      <c r="D302" s="161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184"/>
      <c r="B303" s="224"/>
      <c r="C303" s="161"/>
      <c r="D303" s="161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184"/>
      <c r="B304" s="224"/>
      <c r="C304" s="161"/>
      <c r="D304" s="161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184"/>
      <c r="B305" s="224"/>
      <c r="C305" s="161"/>
      <c r="D305" s="161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184"/>
      <c r="B306" s="224"/>
      <c r="C306" s="161"/>
      <c r="D306" s="161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184"/>
      <c r="B307" s="224"/>
      <c r="C307" s="161"/>
      <c r="D307" s="161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184"/>
      <c r="B308" s="224"/>
      <c r="C308" s="161"/>
      <c r="D308" s="161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184"/>
      <c r="B309" s="224"/>
      <c r="C309" s="161"/>
      <c r="D309" s="161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184"/>
      <c r="B310" s="224"/>
      <c r="C310" s="161"/>
      <c r="D310" s="161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184"/>
      <c r="B311" s="224"/>
      <c r="C311" s="161"/>
      <c r="D311" s="161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184"/>
      <c r="B312" s="224"/>
      <c r="C312" s="161"/>
      <c r="D312" s="161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184"/>
      <c r="B313" s="224"/>
      <c r="C313" s="161"/>
      <c r="D313" s="161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184"/>
      <c r="B314" s="224"/>
      <c r="C314" s="161"/>
      <c r="D314" s="161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184"/>
      <c r="B315" s="224"/>
      <c r="C315" s="161"/>
      <c r="D315" s="161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184"/>
      <c r="B316" s="224"/>
      <c r="C316" s="161"/>
      <c r="D316" s="161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184"/>
      <c r="B317" s="224"/>
      <c r="C317" s="161"/>
      <c r="D317" s="161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184"/>
      <c r="B318" s="224"/>
      <c r="C318" s="161"/>
      <c r="D318" s="161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184"/>
      <c r="B319" s="224"/>
      <c r="C319" s="161"/>
      <c r="D319" s="161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184"/>
      <c r="B320" s="224"/>
      <c r="C320" s="161"/>
      <c r="D320" s="161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184"/>
      <c r="B321" s="224"/>
      <c r="C321" s="161"/>
      <c r="D321" s="161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184"/>
      <c r="B322" s="224"/>
      <c r="C322" s="161"/>
      <c r="D322" s="161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184"/>
      <c r="B323" s="224"/>
      <c r="C323" s="161"/>
      <c r="D323" s="161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184"/>
      <c r="B324" s="224"/>
      <c r="C324" s="161"/>
      <c r="D324" s="161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184"/>
      <c r="B325" s="224"/>
      <c r="C325" s="161"/>
      <c r="D325" s="161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184"/>
      <c r="B326" s="224"/>
      <c r="C326" s="161"/>
      <c r="D326" s="161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184"/>
      <c r="B327" s="224"/>
      <c r="C327" s="161"/>
      <c r="D327" s="161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184"/>
      <c r="B328" s="224"/>
      <c r="C328" s="161"/>
      <c r="D328" s="161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184"/>
      <c r="B329" s="224"/>
      <c r="C329" s="161"/>
      <c r="D329" s="161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184"/>
      <c r="B330" s="224"/>
      <c r="C330" s="161"/>
      <c r="D330" s="161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184"/>
      <c r="B331" s="224"/>
      <c r="C331" s="161"/>
      <c r="D331" s="161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184"/>
      <c r="B332" s="224"/>
      <c r="C332" s="161"/>
      <c r="D332" s="161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184"/>
      <c r="B333" s="224"/>
      <c r="C333" s="161"/>
      <c r="D333" s="161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184"/>
      <c r="B334" s="224"/>
      <c r="C334" s="161"/>
      <c r="D334" s="161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184"/>
      <c r="B335" s="224"/>
      <c r="C335" s="161"/>
      <c r="D335" s="161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184"/>
      <c r="B336" s="224"/>
      <c r="C336" s="161"/>
      <c r="D336" s="161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184"/>
      <c r="B337" s="224"/>
      <c r="C337" s="161"/>
      <c r="D337" s="161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184"/>
      <c r="B338" s="224"/>
      <c r="C338" s="161"/>
      <c r="D338" s="161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184"/>
      <c r="B339" s="224"/>
      <c r="C339" s="161"/>
      <c r="D339" s="161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184"/>
      <c r="B340" s="224"/>
      <c r="C340" s="161"/>
      <c r="D340" s="161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184"/>
      <c r="B341" s="224"/>
      <c r="C341" s="161"/>
      <c r="D341" s="161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184"/>
      <c r="B342" s="224"/>
      <c r="C342" s="161"/>
      <c r="D342" s="161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184"/>
      <c r="B343" s="224"/>
      <c r="C343" s="161"/>
      <c r="D343" s="161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184"/>
      <c r="B344" s="224"/>
      <c r="C344" s="161"/>
      <c r="D344" s="161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184"/>
      <c r="B345" s="224"/>
      <c r="C345" s="161"/>
      <c r="D345" s="161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184"/>
      <c r="B346" s="224"/>
      <c r="C346" s="161"/>
      <c r="D346" s="161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184"/>
      <c r="B347" s="224"/>
      <c r="C347" s="161"/>
      <c r="D347" s="161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184"/>
      <c r="B348" s="224"/>
      <c r="C348" s="161"/>
      <c r="D348" s="161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184"/>
      <c r="B349" s="224"/>
      <c r="C349" s="161"/>
      <c r="D349" s="161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184"/>
      <c r="B350" s="224"/>
      <c r="C350" s="161"/>
      <c r="D350" s="161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184"/>
      <c r="B351" s="224"/>
      <c r="C351" s="161"/>
      <c r="D351" s="161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184"/>
      <c r="B352" s="224"/>
      <c r="C352" s="161"/>
      <c r="D352" s="161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184"/>
      <c r="B353" s="224"/>
      <c r="C353" s="161"/>
      <c r="D353" s="161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184"/>
      <c r="B354" s="224"/>
      <c r="C354" s="161"/>
      <c r="D354" s="161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184"/>
      <c r="B355" s="224"/>
      <c r="C355" s="161"/>
      <c r="D355" s="161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184"/>
      <c r="B356" s="224"/>
      <c r="C356" s="161"/>
      <c r="D356" s="161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184"/>
      <c r="B357" s="224"/>
      <c r="C357" s="161"/>
      <c r="D357" s="161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184"/>
      <c r="B358" s="224"/>
      <c r="C358" s="161"/>
      <c r="D358" s="161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184"/>
      <c r="B359" s="224"/>
      <c r="C359" s="161"/>
      <c r="D359" s="161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184"/>
      <c r="B360" s="224"/>
      <c r="C360" s="161"/>
      <c r="D360" s="161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184"/>
      <c r="B361" s="224"/>
      <c r="C361" s="161"/>
      <c r="D361" s="161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184"/>
      <c r="B362" s="224"/>
      <c r="C362" s="161"/>
      <c r="D362" s="161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184"/>
      <c r="B363" s="224"/>
      <c r="C363" s="161"/>
      <c r="D363" s="161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184"/>
      <c r="B364" s="224"/>
      <c r="C364" s="161"/>
      <c r="D364" s="161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184"/>
      <c r="B365" s="224"/>
      <c r="C365" s="161"/>
      <c r="D365" s="161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184"/>
      <c r="B366" s="224"/>
      <c r="C366" s="161"/>
      <c r="D366" s="161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184"/>
      <c r="B367" s="224"/>
      <c r="C367" s="161"/>
      <c r="D367" s="161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184"/>
      <c r="B368" s="224"/>
      <c r="C368" s="161"/>
      <c r="D368" s="161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184"/>
      <c r="B369" s="224"/>
      <c r="C369" s="161"/>
      <c r="D369" s="161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184"/>
      <c r="B370" s="224"/>
      <c r="C370" s="161"/>
      <c r="D370" s="161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184"/>
      <c r="B371" s="224"/>
      <c r="C371" s="161"/>
      <c r="D371" s="161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184"/>
      <c r="B372" s="224"/>
      <c r="C372" s="161"/>
      <c r="D372" s="161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184"/>
      <c r="B373" s="224"/>
      <c r="C373" s="161"/>
      <c r="D373" s="161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184"/>
      <c r="B374" s="224"/>
      <c r="C374" s="161"/>
      <c r="D374" s="161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184"/>
      <c r="B375" s="224"/>
      <c r="C375" s="161"/>
      <c r="D375" s="161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184"/>
      <c r="B376" s="224"/>
      <c r="C376" s="161"/>
      <c r="D376" s="161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184"/>
      <c r="B377" s="224"/>
      <c r="C377" s="161"/>
      <c r="D377" s="161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184"/>
      <c r="B378" s="224"/>
      <c r="C378" s="161"/>
      <c r="D378" s="161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184"/>
      <c r="B379" s="224"/>
      <c r="C379" s="161"/>
      <c r="D379" s="161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184"/>
      <c r="B380" s="224"/>
      <c r="C380" s="161"/>
      <c r="D380" s="161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184"/>
      <c r="B381" s="224"/>
      <c r="C381" s="161"/>
      <c r="D381" s="161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184"/>
      <c r="B382" s="224"/>
      <c r="C382" s="161"/>
      <c r="D382" s="161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184"/>
      <c r="B383" s="224"/>
      <c r="C383" s="161"/>
      <c r="D383" s="161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184"/>
      <c r="B384" s="224"/>
      <c r="C384" s="161"/>
      <c r="D384" s="161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184"/>
      <c r="B385" s="224"/>
      <c r="C385" s="161"/>
      <c r="D385" s="161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184"/>
      <c r="B386" s="224"/>
      <c r="C386" s="161"/>
      <c r="D386" s="161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184"/>
      <c r="B387" s="224"/>
      <c r="C387" s="161"/>
      <c r="D387" s="161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184"/>
      <c r="B388" s="224"/>
      <c r="C388" s="161"/>
      <c r="D388" s="161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184"/>
      <c r="B389" s="224"/>
      <c r="C389" s="161"/>
      <c r="D389" s="161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184"/>
      <c r="B390" s="224"/>
      <c r="C390" s="161"/>
      <c r="D390" s="161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184"/>
      <c r="B391" s="224"/>
      <c r="C391" s="161"/>
      <c r="D391" s="161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184"/>
      <c r="B392" s="224"/>
      <c r="C392" s="161"/>
      <c r="D392" s="161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184"/>
      <c r="B393" s="224"/>
      <c r="C393" s="161"/>
      <c r="D393" s="161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184"/>
      <c r="B394" s="224"/>
      <c r="C394" s="161"/>
      <c r="D394" s="161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184"/>
      <c r="B395" s="224"/>
      <c r="C395" s="161"/>
      <c r="D395" s="161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184"/>
      <c r="B396" s="224"/>
      <c r="C396" s="161"/>
      <c r="D396" s="161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184"/>
      <c r="B397" s="224"/>
      <c r="C397" s="161"/>
      <c r="D397" s="161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184"/>
      <c r="B398" s="224"/>
      <c r="C398" s="161"/>
      <c r="D398" s="161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184"/>
      <c r="B399" s="224"/>
      <c r="C399" s="161"/>
      <c r="D399" s="161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184"/>
      <c r="B400" s="224"/>
      <c r="C400" s="161"/>
      <c r="D400" s="161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184"/>
      <c r="B401" s="224"/>
      <c r="C401" s="161"/>
      <c r="D401" s="161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184"/>
      <c r="B402" s="224"/>
      <c r="C402" s="161"/>
      <c r="D402" s="161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184"/>
      <c r="B403" s="224"/>
      <c r="C403" s="161"/>
      <c r="D403" s="161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184"/>
      <c r="B404" s="224"/>
      <c r="C404" s="161"/>
      <c r="D404" s="161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184"/>
      <c r="B405" s="224"/>
      <c r="C405" s="161"/>
      <c r="D405" s="161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184"/>
      <c r="B406" s="224"/>
      <c r="C406" s="161"/>
      <c r="D406" s="161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184"/>
      <c r="B407" s="224"/>
      <c r="C407" s="161"/>
      <c r="D407" s="161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184"/>
      <c r="B408" s="224"/>
      <c r="C408" s="161"/>
      <c r="D408" s="161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184"/>
      <c r="B409" s="224"/>
      <c r="C409" s="161"/>
      <c r="D409" s="161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184"/>
      <c r="B410" s="224"/>
      <c r="C410" s="161"/>
      <c r="D410" s="161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184"/>
      <c r="B411" s="224"/>
      <c r="C411" s="161"/>
      <c r="D411" s="161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184"/>
      <c r="B412" s="224"/>
      <c r="C412" s="161"/>
      <c r="D412" s="161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184"/>
      <c r="B413" s="224"/>
      <c r="C413" s="161"/>
      <c r="D413" s="161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184"/>
      <c r="B414" s="224"/>
      <c r="C414" s="161"/>
      <c r="D414" s="161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184"/>
      <c r="B415" s="224"/>
      <c r="C415" s="161"/>
      <c r="D415" s="161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184"/>
      <c r="B416" s="224"/>
      <c r="C416" s="161"/>
      <c r="D416" s="161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184"/>
      <c r="B417" s="224"/>
      <c r="C417" s="161"/>
      <c r="D417" s="161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184"/>
      <c r="B418" s="224"/>
      <c r="C418" s="161"/>
      <c r="D418" s="161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184"/>
      <c r="B419" s="224"/>
      <c r="C419" s="161"/>
      <c r="D419" s="161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184"/>
      <c r="B420" s="224"/>
      <c r="C420" s="161"/>
      <c r="D420" s="161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184"/>
      <c r="B421" s="224"/>
      <c r="C421" s="161"/>
      <c r="D421" s="161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184"/>
      <c r="B422" s="224"/>
      <c r="C422" s="161"/>
      <c r="D422" s="161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184"/>
      <c r="B423" s="224"/>
      <c r="C423" s="161"/>
      <c r="D423" s="161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184"/>
      <c r="B424" s="224"/>
      <c r="C424" s="161"/>
      <c r="D424" s="161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184"/>
      <c r="B425" s="224"/>
      <c r="C425" s="161"/>
      <c r="D425" s="161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184"/>
      <c r="B426" s="224"/>
      <c r="C426" s="161"/>
      <c r="D426" s="161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184"/>
      <c r="B427" s="224"/>
      <c r="C427" s="161"/>
      <c r="D427" s="161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184"/>
      <c r="B428" s="224"/>
      <c r="C428" s="161"/>
      <c r="D428" s="161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184"/>
      <c r="B429" s="224"/>
      <c r="C429" s="161"/>
      <c r="D429" s="161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184"/>
      <c r="B430" s="224"/>
      <c r="C430" s="161"/>
      <c r="D430" s="161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184"/>
      <c r="B431" s="224"/>
      <c r="C431" s="161"/>
      <c r="D431" s="161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184"/>
      <c r="B432" s="224"/>
      <c r="C432" s="161"/>
      <c r="D432" s="161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184"/>
      <c r="B433" s="224"/>
      <c r="C433" s="161"/>
      <c r="D433" s="161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184"/>
      <c r="B434" s="224"/>
      <c r="C434" s="161"/>
      <c r="D434" s="161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184"/>
      <c r="B435" s="224"/>
      <c r="C435" s="161"/>
      <c r="D435" s="161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184"/>
      <c r="B436" s="224"/>
      <c r="C436" s="161"/>
      <c r="D436" s="161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184"/>
      <c r="B437" s="224"/>
      <c r="C437" s="161"/>
      <c r="D437" s="161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184"/>
      <c r="B438" s="224"/>
      <c r="C438" s="161"/>
      <c r="D438" s="161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184"/>
      <c r="B439" s="224"/>
      <c r="C439" s="161"/>
      <c r="D439" s="161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184"/>
      <c r="B440" s="224"/>
      <c r="C440" s="161"/>
      <c r="D440" s="161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184"/>
      <c r="B441" s="224"/>
      <c r="C441" s="161"/>
      <c r="D441" s="161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184"/>
      <c r="B442" s="224"/>
      <c r="C442" s="161"/>
      <c r="D442" s="161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184"/>
      <c r="B443" s="224"/>
      <c r="C443" s="161"/>
      <c r="D443" s="161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184"/>
      <c r="B444" s="224"/>
      <c r="C444" s="161"/>
      <c r="D444" s="161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184"/>
      <c r="B445" s="224"/>
      <c r="C445" s="161"/>
      <c r="D445" s="161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184"/>
      <c r="B446" s="224"/>
      <c r="C446" s="161"/>
      <c r="D446" s="161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184"/>
      <c r="B447" s="224"/>
      <c r="C447" s="161"/>
      <c r="D447" s="161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184"/>
      <c r="B448" s="224"/>
      <c r="C448" s="161"/>
      <c r="D448" s="161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184"/>
      <c r="B449" s="224"/>
      <c r="C449" s="161"/>
      <c r="D449" s="161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184"/>
      <c r="B450" s="224"/>
      <c r="C450" s="161"/>
      <c r="D450" s="161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184"/>
      <c r="B451" s="224"/>
      <c r="C451" s="161"/>
      <c r="D451" s="161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184"/>
      <c r="B452" s="224"/>
      <c r="C452" s="161"/>
      <c r="D452" s="161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184"/>
      <c r="B453" s="224"/>
      <c r="C453" s="161"/>
      <c r="D453" s="161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184"/>
      <c r="B454" s="224"/>
      <c r="C454" s="161"/>
      <c r="D454" s="161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184"/>
      <c r="B455" s="224"/>
      <c r="C455" s="161"/>
      <c r="D455" s="161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184"/>
      <c r="B456" s="224"/>
      <c r="C456" s="161"/>
      <c r="D456" s="161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184"/>
      <c r="B457" s="224"/>
      <c r="C457" s="161"/>
      <c r="D457" s="161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184"/>
      <c r="B458" s="224"/>
      <c r="C458" s="161"/>
      <c r="D458" s="161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184"/>
      <c r="B459" s="224"/>
      <c r="C459" s="161"/>
      <c r="D459" s="161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184"/>
      <c r="B460" s="224"/>
      <c r="C460" s="161"/>
      <c r="D460" s="161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184"/>
      <c r="B461" s="224"/>
      <c r="C461" s="161"/>
      <c r="D461" s="161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184"/>
      <c r="B462" s="224"/>
      <c r="C462" s="161"/>
      <c r="D462" s="161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184"/>
      <c r="B463" s="224"/>
      <c r="C463" s="161"/>
      <c r="D463" s="161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184"/>
      <c r="B464" s="224"/>
      <c r="C464" s="161"/>
      <c r="D464" s="161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184"/>
      <c r="B465" s="224"/>
      <c r="C465" s="161"/>
      <c r="D465" s="161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184"/>
      <c r="B466" s="224"/>
      <c r="C466" s="161"/>
      <c r="D466" s="161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184"/>
      <c r="B467" s="224"/>
      <c r="C467" s="161"/>
      <c r="D467" s="161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184"/>
      <c r="B468" s="224"/>
      <c r="C468" s="161"/>
      <c r="D468" s="161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184"/>
      <c r="B469" s="224"/>
      <c r="C469" s="161"/>
      <c r="D469" s="161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184"/>
      <c r="B470" s="224"/>
      <c r="C470" s="161"/>
      <c r="D470" s="161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184"/>
      <c r="B471" s="224"/>
      <c r="C471" s="161"/>
      <c r="D471" s="161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184"/>
      <c r="B472" s="224"/>
      <c r="C472" s="161"/>
      <c r="D472" s="161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184"/>
      <c r="B473" s="224"/>
      <c r="C473" s="161"/>
      <c r="D473" s="161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184"/>
      <c r="B474" s="224"/>
      <c r="C474" s="161"/>
      <c r="D474" s="161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184"/>
      <c r="B475" s="224"/>
      <c r="C475" s="161"/>
      <c r="D475" s="161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184"/>
      <c r="B476" s="224"/>
      <c r="C476" s="161"/>
      <c r="D476" s="161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184"/>
      <c r="B477" s="224"/>
      <c r="C477" s="161"/>
      <c r="D477" s="161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184"/>
      <c r="B478" s="224"/>
      <c r="C478" s="161"/>
      <c r="D478" s="161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184"/>
      <c r="B479" s="224"/>
      <c r="C479" s="161"/>
      <c r="D479" s="161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184"/>
      <c r="B480" s="224"/>
      <c r="C480" s="161"/>
      <c r="D480" s="161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184"/>
      <c r="B481" s="224"/>
      <c r="C481" s="161"/>
      <c r="D481" s="161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184"/>
      <c r="B482" s="224"/>
      <c r="C482" s="161"/>
      <c r="D482" s="161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184"/>
      <c r="B483" s="224"/>
      <c r="C483" s="161"/>
      <c r="D483" s="161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184"/>
      <c r="B484" s="224"/>
      <c r="C484" s="161"/>
      <c r="D484" s="161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184"/>
      <c r="B485" s="224"/>
      <c r="C485" s="161"/>
      <c r="D485" s="161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184"/>
      <c r="B486" s="224"/>
      <c r="C486" s="161"/>
      <c r="D486" s="161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184"/>
      <c r="B487" s="224"/>
      <c r="C487" s="161"/>
      <c r="D487" s="161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184"/>
      <c r="B488" s="224"/>
      <c r="C488" s="161"/>
      <c r="D488" s="161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184"/>
      <c r="B489" s="224"/>
      <c r="C489" s="161"/>
      <c r="D489" s="161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184"/>
      <c r="B490" s="224"/>
      <c r="C490" s="161"/>
      <c r="D490" s="161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184"/>
      <c r="B491" s="224"/>
      <c r="C491" s="161"/>
      <c r="D491" s="161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184"/>
      <c r="B492" s="224"/>
      <c r="C492" s="161"/>
      <c r="D492" s="161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184"/>
      <c r="B493" s="224"/>
      <c r="C493" s="161"/>
      <c r="D493" s="161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184"/>
      <c r="B494" s="224"/>
      <c r="C494" s="161"/>
      <c r="D494" s="161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184"/>
      <c r="B495" s="224"/>
      <c r="C495" s="161"/>
      <c r="D495" s="161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184"/>
      <c r="B496" s="224"/>
      <c r="C496" s="161"/>
      <c r="D496" s="161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184"/>
      <c r="B497" s="224"/>
      <c r="C497" s="161"/>
      <c r="D497" s="161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184"/>
      <c r="B498" s="224"/>
      <c r="C498" s="161"/>
      <c r="D498" s="161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184"/>
      <c r="B499" s="224"/>
      <c r="C499" s="161"/>
      <c r="D499" s="161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184"/>
      <c r="B500" s="224"/>
      <c r="C500" s="161"/>
      <c r="D500" s="161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184"/>
      <c r="B501" s="224"/>
      <c r="C501" s="161"/>
      <c r="D501" s="161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184"/>
      <c r="B502" s="224"/>
      <c r="C502" s="161"/>
      <c r="D502" s="161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184"/>
      <c r="B503" s="224"/>
      <c r="C503" s="161"/>
      <c r="D503" s="161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184"/>
      <c r="B504" s="224"/>
      <c r="C504" s="161"/>
      <c r="D504" s="161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184"/>
      <c r="B505" s="224"/>
      <c r="C505" s="161"/>
      <c r="D505" s="161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184"/>
      <c r="B506" s="224"/>
      <c r="C506" s="161"/>
      <c r="D506" s="161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184"/>
      <c r="B507" s="224"/>
      <c r="C507" s="161"/>
      <c r="D507" s="161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184"/>
      <c r="B508" s="224"/>
      <c r="C508" s="161"/>
      <c r="D508" s="161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184"/>
      <c r="B509" s="224"/>
      <c r="C509" s="161"/>
      <c r="D509" s="161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184"/>
      <c r="B510" s="224"/>
      <c r="C510" s="161"/>
      <c r="D510" s="161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184"/>
      <c r="B511" s="224"/>
      <c r="C511" s="161"/>
      <c r="D511" s="161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184"/>
      <c r="B512" s="224"/>
      <c r="C512" s="161"/>
      <c r="D512" s="161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184"/>
      <c r="B513" s="224"/>
      <c r="C513" s="161"/>
      <c r="D513" s="161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184"/>
      <c r="B514" s="224"/>
      <c r="C514" s="161"/>
      <c r="D514" s="161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184"/>
      <c r="B515" s="224"/>
      <c r="C515" s="161"/>
      <c r="D515" s="161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184"/>
      <c r="B516" s="224"/>
      <c r="C516" s="161"/>
      <c r="D516" s="161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184"/>
      <c r="B517" s="224"/>
      <c r="C517" s="161"/>
      <c r="D517" s="161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184"/>
      <c r="B518" s="224"/>
      <c r="C518" s="161"/>
      <c r="D518" s="161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184"/>
      <c r="B519" s="224"/>
      <c r="C519" s="161"/>
      <c r="D519" s="161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184"/>
      <c r="B520" s="224"/>
      <c r="C520" s="161"/>
      <c r="D520" s="161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184"/>
      <c r="B521" s="224"/>
      <c r="C521" s="161"/>
      <c r="D521" s="161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184"/>
      <c r="B522" s="224"/>
      <c r="C522" s="161"/>
      <c r="D522" s="161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184"/>
      <c r="B523" s="224"/>
      <c r="C523" s="161"/>
      <c r="D523" s="161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184"/>
      <c r="B524" s="224"/>
      <c r="C524" s="161"/>
      <c r="D524" s="161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184"/>
      <c r="B525" s="224"/>
      <c r="C525" s="161"/>
      <c r="D525" s="161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184"/>
      <c r="B526" s="224"/>
      <c r="C526" s="161"/>
      <c r="D526" s="161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184"/>
      <c r="B527" s="224"/>
      <c r="C527" s="161"/>
      <c r="D527" s="161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184"/>
      <c r="B528" s="224"/>
      <c r="C528" s="161"/>
      <c r="D528" s="161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184"/>
      <c r="B529" s="224"/>
      <c r="C529" s="161"/>
      <c r="D529" s="161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184"/>
      <c r="B530" s="224"/>
      <c r="C530" s="161"/>
      <c r="D530" s="161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184"/>
      <c r="B531" s="224"/>
      <c r="C531" s="161"/>
      <c r="D531" s="161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184"/>
      <c r="B532" s="224"/>
      <c r="C532" s="161"/>
      <c r="D532" s="161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184"/>
      <c r="B533" s="224"/>
      <c r="C533" s="161"/>
      <c r="D533" s="161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184"/>
      <c r="B534" s="224"/>
      <c r="C534" s="161"/>
      <c r="D534" s="161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184"/>
      <c r="B535" s="224"/>
      <c r="C535" s="161"/>
      <c r="D535" s="161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184"/>
      <c r="B536" s="224"/>
      <c r="C536" s="161"/>
      <c r="D536" s="161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184"/>
      <c r="B537" s="224"/>
      <c r="C537" s="161"/>
      <c r="D537" s="161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184"/>
      <c r="B538" s="224"/>
      <c r="C538" s="161"/>
      <c r="D538" s="161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184"/>
      <c r="B539" s="224"/>
      <c r="C539" s="161"/>
      <c r="D539" s="161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184"/>
      <c r="B540" s="224"/>
      <c r="C540" s="161"/>
      <c r="D540" s="161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184"/>
      <c r="B541" s="224"/>
      <c r="C541" s="161"/>
      <c r="D541" s="161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184"/>
      <c r="B542" s="224"/>
      <c r="C542" s="161"/>
      <c r="D542" s="161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184"/>
      <c r="B543" s="224"/>
      <c r="C543" s="161"/>
      <c r="D543" s="161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184"/>
      <c r="B544" s="224"/>
      <c r="C544" s="161"/>
      <c r="D544" s="161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184"/>
      <c r="B545" s="224"/>
      <c r="C545" s="161"/>
      <c r="D545" s="161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184"/>
      <c r="B546" s="224"/>
      <c r="C546" s="161"/>
      <c r="D546" s="161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184"/>
      <c r="B547" s="224"/>
      <c r="C547" s="161"/>
      <c r="D547" s="161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184"/>
      <c r="B548" s="224"/>
      <c r="C548" s="161"/>
      <c r="D548" s="161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184"/>
      <c r="B549" s="224"/>
      <c r="C549" s="161"/>
      <c r="D549" s="161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184"/>
      <c r="B550" s="224"/>
      <c r="C550" s="161"/>
      <c r="D550" s="161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184"/>
      <c r="B551" s="224"/>
      <c r="C551" s="161"/>
      <c r="D551" s="161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184"/>
      <c r="B552" s="224"/>
      <c r="C552" s="161"/>
      <c r="D552" s="161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184"/>
      <c r="B553" s="224"/>
      <c r="C553" s="161"/>
      <c r="D553" s="161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184"/>
      <c r="B554" s="224"/>
      <c r="C554" s="161"/>
      <c r="D554" s="161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184"/>
      <c r="B555" s="224"/>
      <c r="C555" s="161"/>
      <c r="D555" s="161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184"/>
      <c r="B556" s="224"/>
      <c r="C556" s="161"/>
      <c r="D556" s="161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184"/>
      <c r="B557" s="224"/>
      <c r="C557" s="161"/>
      <c r="D557" s="161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184"/>
      <c r="B558" s="224"/>
      <c r="C558" s="161"/>
      <c r="D558" s="161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184"/>
      <c r="B559" s="224"/>
      <c r="C559" s="161"/>
      <c r="D559" s="161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184"/>
      <c r="B560" s="224"/>
      <c r="C560" s="161"/>
      <c r="D560" s="161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184"/>
      <c r="B561" s="224"/>
      <c r="C561" s="161"/>
      <c r="D561" s="161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184"/>
      <c r="B562" s="224"/>
      <c r="C562" s="161"/>
      <c r="D562" s="161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184"/>
      <c r="B563" s="224"/>
      <c r="C563" s="161"/>
      <c r="D563" s="161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184"/>
      <c r="B564" s="224"/>
      <c r="C564" s="161"/>
      <c r="D564" s="161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184"/>
      <c r="B565" s="224"/>
      <c r="C565" s="161"/>
      <c r="D565" s="161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184"/>
      <c r="B566" s="224"/>
      <c r="C566" s="161"/>
      <c r="D566" s="161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184"/>
      <c r="B567" s="224"/>
      <c r="C567" s="161"/>
      <c r="D567" s="161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184"/>
      <c r="B568" s="224"/>
      <c r="C568" s="161"/>
      <c r="D568" s="161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184"/>
      <c r="B569" s="224"/>
      <c r="C569" s="161"/>
      <c r="D569" s="161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184"/>
      <c r="B570" s="224"/>
      <c r="C570" s="161"/>
      <c r="D570" s="161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184"/>
      <c r="B571" s="224"/>
      <c r="C571" s="161"/>
      <c r="D571" s="161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184"/>
      <c r="B572" s="224"/>
      <c r="C572" s="161"/>
      <c r="D572" s="161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184"/>
      <c r="B573" s="224"/>
      <c r="C573" s="161"/>
      <c r="D573" s="161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184"/>
      <c r="B574" s="224"/>
      <c r="C574" s="161"/>
      <c r="D574" s="161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184"/>
      <c r="B575" s="224"/>
      <c r="C575" s="161"/>
      <c r="D575" s="161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184"/>
      <c r="B576" s="224"/>
      <c r="C576" s="161"/>
      <c r="D576" s="161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184"/>
      <c r="B577" s="224"/>
      <c r="C577" s="161"/>
      <c r="D577" s="161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184"/>
      <c r="B578" s="224"/>
      <c r="C578" s="161"/>
      <c r="D578" s="161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184"/>
      <c r="B579" s="224"/>
      <c r="C579" s="161"/>
      <c r="D579" s="161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184"/>
      <c r="B580" s="224"/>
      <c r="C580" s="161"/>
      <c r="D580" s="161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184"/>
      <c r="B581" s="224"/>
      <c r="C581" s="161"/>
      <c r="D581" s="161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184"/>
      <c r="B582" s="224"/>
      <c r="C582" s="161"/>
      <c r="D582" s="161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184"/>
      <c r="B583" s="224"/>
      <c r="C583" s="161"/>
      <c r="D583" s="161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184"/>
      <c r="B584" s="224"/>
      <c r="C584" s="161"/>
      <c r="D584" s="161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184"/>
      <c r="B585" s="224"/>
      <c r="C585" s="161"/>
      <c r="D585" s="161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184"/>
      <c r="B586" s="224"/>
      <c r="C586" s="161"/>
      <c r="D586" s="161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184"/>
      <c r="B587" s="224"/>
      <c r="C587" s="161"/>
      <c r="D587" s="161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184"/>
      <c r="B588" s="224"/>
      <c r="C588" s="161"/>
      <c r="D588" s="161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184"/>
      <c r="B589" s="224"/>
      <c r="C589" s="161"/>
      <c r="D589" s="161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184"/>
      <c r="B590" s="224"/>
      <c r="C590" s="161"/>
      <c r="D590" s="161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184"/>
      <c r="B591" s="224"/>
      <c r="C591" s="161"/>
      <c r="D591" s="161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184"/>
      <c r="B592" s="224"/>
      <c r="C592" s="161"/>
      <c r="D592" s="161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184"/>
      <c r="B593" s="224"/>
      <c r="C593" s="161"/>
      <c r="D593" s="161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184"/>
      <c r="B594" s="224"/>
      <c r="C594" s="161"/>
      <c r="D594" s="161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184"/>
      <c r="B595" s="224"/>
      <c r="C595" s="161"/>
      <c r="D595" s="161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184"/>
      <c r="B596" s="224"/>
      <c r="C596" s="161"/>
      <c r="D596" s="161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184"/>
      <c r="B597" s="224"/>
      <c r="C597" s="161"/>
      <c r="D597" s="161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184"/>
      <c r="B598" s="224"/>
      <c r="C598" s="161"/>
      <c r="D598" s="161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184"/>
      <c r="B599" s="224"/>
      <c r="C599" s="161"/>
      <c r="D599" s="161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184"/>
      <c r="B600" s="224"/>
      <c r="C600" s="161"/>
      <c r="D600" s="161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184"/>
      <c r="B601" s="224"/>
      <c r="C601" s="161"/>
      <c r="D601" s="161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184"/>
      <c r="B602" s="224"/>
      <c r="C602" s="161"/>
      <c r="D602" s="161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184"/>
      <c r="B603" s="224"/>
      <c r="C603" s="161"/>
      <c r="D603" s="161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184"/>
      <c r="B604" s="224"/>
      <c r="C604" s="161"/>
      <c r="D604" s="161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184"/>
      <c r="B605" s="224"/>
      <c r="C605" s="161"/>
      <c r="D605" s="161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184"/>
      <c r="B606" s="224"/>
      <c r="C606" s="161"/>
      <c r="D606" s="161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184"/>
      <c r="B607" s="224"/>
      <c r="C607" s="161"/>
      <c r="D607" s="161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184"/>
      <c r="B608" s="224"/>
      <c r="C608" s="161"/>
      <c r="D608" s="161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184"/>
      <c r="B609" s="224"/>
      <c r="C609" s="161"/>
      <c r="D609" s="161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184"/>
      <c r="B610" s="224"/>
      <c r="C610" s="161"/>
      <c r="D610" s="161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184"/>
      <c r="B611" s="224"/>
      <c r="C611" s="161"/>
      <c r="D611" s="161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184"/>
      <c r="B612" s="224"/>
      <c r="C612" s="161"/>
      <c r="D612" s="161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184"/>
      <c r="B613" s="224"/>
      <c r="C613" s="161"/>
      <c r="D613" s="161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184"/>
      <c r="B614" s="224"/>
      <c r="C614" s="161"/>
      <c r="D614" s="161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184"/>
      <c r="B615" s="224"/>
      <c r="C615" s="161"/>
      <c r="D615" s="161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184"/>
      <c r="B616" s="224"/>
      <c r="C616" s="161"/>
      <c r="D616" s="161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184"/>
      <c r="B617" s="224"/>
      <c r="C617" s="161"/>
      <c r="D617" s="161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184"/>
      <c r="B618" s="224"/>
      <c r="C618" s="161"/>
      <c r="D618" s="161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184"/>
      <c r="B619" s="224"/>
      <c r="C619" s="161"/>
      <c r="D619" s="161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184"/>
      <c r="B620" s="224"/>
      <c r="C620" s="161"/>
      <c r="D620" s="161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184"/>
      <c r="B621" s="224"/>
      <c r="C621" s="161"/>
      <c r="D621" s="161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184"/>
      <c r="B622" s="224"/>
      <c r="C622" s="161"/>
      <c r="D622" s="161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184"/>
      <c r="B623" s="224"/>
      <c r="C623" s="161"/>
      <c r="D623" s="161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184"/>
      <c r="B624" s="224"/>
      <c r="C624" s="161"/>
      <c r="D624" s="161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184"/>
      <c r="B625" s="224"/>
      <c r="C625" s="161"/>
      <c r="D625" s="161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184"/>
      <c r="B626" s="224"/>
      <c r="C626" s="161"/>
      <c r="D626" s="161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184"/>
      <c r="B627" s="224"/>
      <c r="C627" s="161"/>
      <c r="D627" s="161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184"/>
      <c r="B628" s="224"/>
      <c r="C628" s="161"/>
      <c r="D628" s="161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184"/>
      <c r="B629" s="224"/>
      <c r="C629" s="161"/>
      <c r="D629" s="161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184"/>
      <c r="B630" s="224"/>
      <c r="C630" s="161"/>
      <c r="D630" s="161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184"/>
      <c r="B631" s="224"/>
      <c r="C631" s="161"/>
      <c r="D631" s="161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184"/>
      <c r="B632" s="224"/>
      <c r="C632" s="161"/>
      <c r="D632" s="161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184"/>
      <c r="B633" s="224"/>
      <c r="C633" s="161"/>
      <c r="D633" s="161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184"/>
      <c r="B634" s="224"/>
      <c r="C634" s="161"/>
      <c r="D634" s="161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184"/>
      <c r="B635" s="224"/>
      <c r="C635" s="161"/>
      <c r="D635" s="161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184"/>
      <c r="B636" s="224"/>
      <c r="C636" s="161"/>
      <c r="D636" s="161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184"/>
      <c r="B637" s="224"/>
      <c r="C637" s="161"/>
      <c r="D637" s="161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184"/>
      <c r="B638" s="224"/>
      <c r="C638" s="161"/>
      <c r="D638" s="161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184"/>
      <c r="B639" s="224"/>
      <c r="C639" s="161"/>
      <c r="D639" s="161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184"/>
      <c r="B640" s="224"/>
      <c r="C640" s="161"/>
      <c r="D640" s="161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184"/>
      <c r="B641" s="224"/>
      <c r="C641" s="161"/>
      <c r="D641" s="161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184"/>
      <c r="B642" s="224"/>
      <c r="C642" s="161"/>
      <c r="D642" s="161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184"/>
      <c r="B643" s="224"/>
      <c r="C643" s="161"/>
      <c r="D643" s="161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184"/>
      <c r="B644" s="224"/>
      <c r="C644" s="161"/>
      <c r="D644" s="161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184"/>
      <c r="B645" s="224"/>
      <c r="C645" s="161"/>
      <c r="D645" s="161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184"/>
      <c r="B646" s="224"/>
      <c r="C646" s="161"/>
      <c r="D646" s="161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184"/>
      <c r="B647" s="224"/>
      <c r="C647" s="161"/>
      <c r="D647" s="161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184"/>
      <c r="B648" s="224"/>
      <c r="C648" s="161"/>
      <c r="D648" s="161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184"/>
      <c r="B649" s="224"/>
      <c r="C649" s="161"/>
      <c r="D649" s="161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184"/>
      <c r="B650" s="224"/>
      <c r="C650" s="161"/>
      <c r="D650" s="161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184"/>
      <c r="B651" s="224"/>
      <c r="C651" s="161"/>
      <c r="D651" s="161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184"/>
      <c r="B652" s="224"/>
      <c r="C652" s="161"/>
      <c r="D652" s="161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184"/>
      <c r="B653" s="224"/>
      <c r="C653" s="161"/>
      <c r="D653" s="161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184"/>
      <c r="B654" s="224"/>
      <c r="C654" s="161"/>
      <c r="D654" s="161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184"/>
      <c r="B655" s="224"/>
      <c r="C655" s="161"/>
      <c r="D655" s="161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184"/>
      <c r="B656" s="224"/>
      <c r="C656" s="161"/>
      <c r="D656" s="161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184"/>
      <c r="B657" s="224"/>
      <c r="C657" s="161"/>
      <c r="D657" s="161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184"/>
      <c r="B658" s="224"/>
      <c r="C658" s="161"/>
      <c r="D658" s="161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184"/>
      <c r="B659" s="224"/>
      <c r="C659" s="161"/>
      <c r="D659" s="161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184"/>
      <c r="B660" s="224"/>
      <c r="C660" s="161"/>
      <c r="D660" s="161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184"/>
      <c r="B661" s="224"/>
      <c r="C661" s="161"/>
      <c r="D661" s="161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184"/>
      <c r="B662" s="224"/>
      <c r="C662" s="161"/>
      <c r="D662" s="161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184"/>
      <c r="B663" s="224"/>
      <c r="C663" s="161"/>
      <c r="D663" s="161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184"/>
      <c r="B664" s="224"/>
      <c r="C664" s="161"/>
      <c r="D664" s="161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184"/>
      <c r="B665" s="224"/>
      <c r="C665" s="161"/>
      <c r="D665" s="161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184"/>
      <c r="B666" s="224"/>
      <c r="C666" s="161"/>
      <c r="D666" s="161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184"/>
      <c r="B667" s="224"/>
      <c r="C667" s="161"/>
      <c r="D667" s="161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184"/>
      <c r="B668" s="224"/>
      <c r="C668" s="161"/>
      <c r="D668" s="161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184"/>
      <c r="B669" s="224"/>
      <c r="C669" s="161"/>
      <c r="D669" s="161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184"/>
      <c r="B670" s="224"/>
      <c r="C670" s="161"/>
      <c r="D670" s="161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184"/>
      <c r="B671" s="224"/>
      <c r="C671" s="161"/>
      <c r="D671" s="161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184"/>
      <c r="B672" s="224"/>
      <c r="C672" s="161"/>
      <c r="D672" s="161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184"/>
      <c r="B673" s="224"/>
      <c r="C673" s="161"/>
      <c r="D673" s="161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184"/>
      <c r="B674" s="224"/>
      <c r="C674" s="161"/>
      <c r="D674" s="161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184"/>
      <c r="B675" s="224"/>
      <c r="C675" s="161"/>
      <c r="D675" s="161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184"/>
      <c r="B676" s="224"/>
      <c r="C676" s="161"/>
      <c r="D676" s="161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184"/>
      <c r="B677" s="224"/>
      <c r="C677" s="161"/>
      <c r="D677" s="161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184"/>
      <c r="B678" s="224"/>
      <c r="C678" s="161"/>
      <c r="D678" s="161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184"/>
      <c r="B679" s="224"/>
      <c r="C679" s="161"/>
      <c r="D679" s="161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184"/>
      <c r="B680" s="224"/>
      <c r="C680" s="161"/>
      <c r="D680" s="161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184"/>
      <c r="B681" s="224"/>
      <c r="C681" s="161"/>
      <c r="D681" s="161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184"/>
      <c r="B682" s="224"/>
      <c r="C682" s="161"/>
      <c r="D682" s="161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184"/>
      <c r="B683" s="224"/>
      <c r="C683" s="161"/>
      <c r="D683" s="161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184"/>
      <c r="B684" s="224"/>
      <c r="C684" s="161"/>
      <c r="D684" s="161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184"/>
      <c r="B685" s="224"/>
      <c r="C685" s="161"/>
      <c r="D685" s="161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184"/>
      <c r="B686" s="224"/>
      <c r="C686" s="161"/>
      <c r="D686" s="161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184"/>
      <c r="B687" s="224"/>
      <c r="C687" s="161"/>
      <c r="D687" s="161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184"/>
      <c r="B688" s="224"/>
      <c r="C688" s="161"/>
      <c r="D688" s="161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184"/>
      <c r="B689" s="224"/>
      <c r="C689" s="161"/>
      <c r="D689" s="161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184"/>
      <c r="B690" s="224"/>
      <c r="C690" s="161"/>
      <c r="D690" s="161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184"/>
      <c r="B691" s="224"/>
      <c r="C691" s="161"/>
      <c r="D691" s="161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184"/>
      <c r="B692" s="224"/>
      <c r="C692" s="161"/>
      <c r="D692" s="161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184"/>
      <c r="B693" s="224"/>
      <c r="C693" s="161"/>
      <c r="D693" s="161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184"/>
      <c r="B694" s="224"/>
      <c r="C694" s="161"/>
      <c r="D694" s="161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184"/>
      <c r="B695" s="224"/>
      <c r="C695" s="161"/>
      <c r="D695" s="161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184"/>
      <c r="B696" s="224"/>
      <c r="C696" s="161"/>
      <c r="D696" s="161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184"/>
      <c r="B697" s="224"/>
      <c r="C697" s="161"/>
      <c r="D697" s="161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184"/>
      <c r="B698" s="224"/>
      <c r="C698" s="161"/>
      <c r="D698" s="161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184"/>
      <c r="B699" s="224"/>
      <c r="C699" s="161"/>
      <c r="D699" s="161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184"/>
      <c r="B700" s="224"/>
      <c r="C700" s="161"/>
      <c r="D700" s="161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184"/>
      <c r="B701" s="224"/>
      <c r="C701" s="161"/>
      <c r="D701" s="161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184"/>
      <c r="B702" s="224"/>
      <c r="C702" s="161"/>
      <c r="D702" s="161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184"/>
      <c r="B703" s="224"/>
      <c r="C703" s="161"/>
      <c r="D703" s="161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184"/>
      <c r="B704" s="224"/>
      <c r="C704" s="161"/>
      <c r="D704" s="161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184"/>
      <c r="B705" s="224"/>
      <c r="C705" s="161"/>
      <c r="D705" s="161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184"/>
      <c r="B706" s="224"/>
      <c r="C706" s="161"/>
      <c r="D706" s="161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184"/>
      <c r="B707" s="224"/>
      <c r="C707" s="161"/>
      <c r="D707" s="161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184"/>
      <c r="B708" s="224"/>
      <c r="C708" s="161"/>
      <c r="D708" s="161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184"/>
      <c r="B709" s="224"/>
      <c r="C709" s="161"/>
      <c r="D709" s="161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184"/>
      <c r="B710" s="224"/>
      <c r="C710" s="161"/>
      <c r="D710" s="161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184"/>
      <c r="B711" s="224"/>
      <c r="C711" s="161"/>
      <c r="D711" s="161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184"/>
      <c r="B712" s="224"/>
      <c r="C712" s="161"/>
      <c r="D712" s="161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184"/>
      <c r="B713" s="224"/>
      <c r="C713" s="161"/>
      <c r="D713" s="161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184"/>
      <c r="B714" s="224"/>
      <c r="C714" s="161"/>
      <c r="D714" s="161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184"/>
      <c r="B715" s="224"/>
      <c r="C715" s="161"/>
      <c r="D715" s="161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184"/>
      <c r="B716" s="224"/>
      <c r="C716" s="161"/>
      <c r="D716" s="161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184"/>
      <c r="B717" s="224"/>
      <c r="C717" s="161"/>
      <c r="D717" s="161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184"/>
      <c r="B718" s="224"/>
      <c r="C718" s="161"/>
      <c r="D718" s="161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184"/>
      <c r="B719" s="224"/>
      <c r="C719" s="161"/>
      <c r="D719" s="161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184"/>
      <c r="B720" s="224"/>
      <c r="C720" s="161"/>
      <c r="D720" s="161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184"/>
      <c r="B721" s="224"/>
      <c r="C721" s="161"/>
      <c r="D721" s="161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184"/>
      <c r="B722" s="224"/>
      <c r="C722" s="161"/>
      <c r="D722" s="161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184"/>
      <c r="B723" s="224"/>
      <c r="C723" s="161"/>
      <c r="D723" s="161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184"/>
      <c r="B724" s="224"/>
      <c r="C724" s="161"/>
      <c r="D724" s="161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184"/>
      <c r="B725" s="224"/>
      <c r="C725" s="161"/>
      <c r="D725" s="161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184"/>
      <c r="B726" s="224"/>
      <c r="C726" s="161"/>
      <c r="D726" s="161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184"/>
      <c r="B727" s="224"/>
      <c r="C727" s="161"/>
      <c r="D727" s="161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184"/>
      <c r="B728" s="224"/>
      <c r="C728" s="161"/>
      <c r="D728" s="161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184"/>
      <c r="B729" s="224"/>
      <c r="C729" s="161"/>
      <c r="D729" s="161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184"/>
      <c r="B730" s="224"/>
      <c r="C730" s="161"/>
      <c r="D730" s="161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184"/>
      <c r="B731" s="224"/>
      <c r="C731" s="161"/>
      <c r="D731" s="161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184"/>
      <c r="B732" s="224"/>
      <c r="C732" s="161"/>
      <c r="D732" s="161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184"/>
      <c r="B733" s="224"/>
      <c r="C733" s="161"/>
      <c r="D733" s="161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184"/>
      <c r="B734" s="224"/>
      <c r="C734" s="161"/>
      <c r="D734" s="161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184"/>
      <c r="B735" s="224"/>
      <c r="C735" s="161"/>
      <c r="D735" s="161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184"/>
      <c r="B736" s="224"/>
      <c r="C736" s="161"/>
      <c r="D736" s="161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184"/>
      <c r="B737" s="224"/>
      <c r="C737" s="161"/>
      <c r="D737" s="161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184"/>
      <c r="B738" s="224"/>
      <c r="C738" s="161"/>
      <c r="D738" s="161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184"/>
      <c r="B739" s="224"/>
      <c r="C739" s="161"/>
      <c r="D739" s="161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184"/>
      <c r="B740" s="224"/>
      <c r="C740" s="161"/>
      <c r="D740" s="161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184"/>
      <c r="B741" s="224"/>
      <c r="C741" s="161"/>
      <c r="D741" s="161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184"/>
      <c r="B742" s="224"/>
      <c r="C742" s="161"/>
      <c r="D742" s="161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184"/>
      <c r="B743" s="224"/>
      <c r="C743" s="161"/>
      <c r="D743" s="161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184"/>
      <c r="B744" s="224"/>
      <c r="C744" s="161"/>
      <c r="D744" s="161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184"/>
      <c r="B745" s="224"/>
      <c r="C745" s="161"/>
      <c r="D745" s="161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184"/>
      <c r="B746" s="224"/>
      <c r="C746" s="161"/>
      <c r="D746" s="161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184"/>
      <c r="B747" s="224"/>
      <c r="C747" s="161"/>
      <c r="D747" s="161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184"/>
      <c r="B748" s="224"/>
      <c r="C748" s="161"/>
      <c r="D748" s="161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184"/>
      <c r="B749" s="224"/>
      <c r="C749" s="161"/>
      <c r="D749" s="161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184"/>
      <c r="B750" s="224"/>
      <c r="C750" s="161"/>
      <c r="D750" s="161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184"/>
      <c r="B751" s="224"/>
      <c r="C751" s="161"/>
      <c r="D751" s="161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184"/>
      <c r="B752" s="224"/>
      <c r="C752" s="161"/>
      <c r="D752" s="161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184"/>
      <c r="B753" s="224"/>
      <c r="C753" s="161"/>
      <c r="D753" s="161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184"/>
      <c r="B754" s="224"/>
      <c r="C754" s="161"/>
      <c r="D754" s="161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184"/>
      <c r="B755" s="224"/>
      <c r="C755" s="161"/>
      <c r="D755" s="161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184"/>
      <c r="B756" s="224"/>
      <c r="C756" s="161"/>
      <c r="D756" s="161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184"/>
      <c r="B757" s="224"/>
      <c r="C757" s="161"/>
      <c r="D757" s="161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184"/>
      <c r="B758" s="224"/>
      <c r="C758" s="161"/>
      <c r="D758" s="161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184"/>
      <c r="B759" s="224"/>
      <c r="C759" s="161"/>
      <c r="D759" s="161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184"/>
      <c r="B760" s="224"/>
      <c r="C760" s="161"/>
      <c r="D760" s="161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184"/>
      <c r="B761" s="224"/>
      <c r="C761" s="161"/>
      <c r="D761" s="161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184"/>
      <c r="B762" s="224"/>
      <c r="C762" s="161"/>
      <c r="D762" s="161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184"/>
      <c r="B763" s="224"/>
      <c r="C763" s="161"/>
      <c r="D763" s="161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184"/>
      <c r="B764" s="224"/>
      <c r="C764" s="161"/>
      <c r="D764" s="161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184"/>
      <c r="B765" s="224"/>
      <c r="C765" s="161"/>
      <c r="D765" s="161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184"/>
      <c r="B766" s="224"/>
      <c r="C766" s="161"/>
      <c r="D766" s="161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184"/>
      <c r="B767" s="224"/>
      <c r="C767" s="161"/>
      <c r="D767" s="161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184"/>
      <c r="B768" s="224"/>
      <c r="C768" s="161"/>
      <c r="D768" s="161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184"/>
      <c r="B769" s="224"/>
      <c r="C769" s="161"/>
      <c r="D769" s="161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184"/>
      <c r="B770" s="224"/>
      <c r="C770" s="161"/>
      <c r="D770" s="161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184"/>
      <c r="B771" s="224"/>
      <c r="C771" s="161"/>
      <c r="D771" s="161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184"/>
      <c r="B772" s="224"/>
      <c r="C772" s="161"/>
      <c r="D772" s="161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184"/>
      <c r="B773" s="224"/>
      <c r="C773" s="161"/>
      <c r="D773" s="161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184"/>
      <c r="B774" s="224"/>
      <c r="C774" s="161"/>
      <c r="D774" s="161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184"/>
      <c r="B775" s="224"/>
      <c r="C775" s="161"/>
      <c r="D775" s="161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184"/>
      <c r="B776" s="224"/>
      <c r="C776" s="161"/>
      <c r="D776" s="161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184"/>
      <c r="B777" s="224"/>
      <c r="C777" s="161"/>
      <c r="D777" s="161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184"/>
      <c r="B778" s="224"/>
      <c r="C778" s="161"/>
      <c r="D778" s="161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184"/>
      <c r="B779" s="224"/>
      <c r="C779" s="161"/>
      <c r="D779" s="161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184"/>
      <c r="B780" s="224"/>
      <c r="C780" s="161"/>
      <c r="D780" s="161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184"/>
      <c r="B781" s="224"/>
      <c r="C781" s="161"/>
      <c r="D781" s="161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184"/>
      <c r="B782" s="224"/>
      <c r="C782" s="161"/>
      <c r="D782" s="161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184"/>
      <c r="B783" s="224"/>
      <c r="C783" s="161"/>
      <c r="D783" s="161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184"/>
      <c r="B784" s="224"/>
      <c r="C784" s="161"/>
      <c r="D784" s="161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184"/>
      <c r="B785" s="224"/>
      <c r="C785" s="161"/>
      <c r="D785" s="161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184"/>
      <c r="B786" s="224"/>
      <c r="C786" s="161"/>
      <c r="D786" s="161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184"/>
      <c r="B787" s="224"/>
      <c r="C787" s="161"/>
      <c r="D787" s="161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184"/>
      <c r="B788" s="224"/>
      <c r="C788" s="161"/>
      <c r="D788" s="161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184"/>
      <c r="B789" s="224"/>
      <c r="C789" s="161"/>
      <c r="D789" s="161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184"/>
      <c r="B790" s="224"/>
      <c r="C790" s="161"/>
      <c r="D790" s="161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184"/>
      <c r="B791" s="224"/>
      <c r="C791" s="161"/>
      <c r="D791" s="161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184"/>
      <c r="B792" s="224"/>
      <c r="C792" s="161"/>
      <c r="D792" s="161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184"/>
      <c r="B793" s="224"/>
      <c r="C793" s="161"/>
      <c r="D793" s="161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184"/>
      <c r="B794" s="224"/>
      <c r="C794" s="161"/>
      <c r="D794" s="161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184"/>
      <c r="B795" s="224"/>
      <c r="C795" s="161"/>
      <c r="D795" s="161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184"/>
      <c r="B796" s="224"/>
      <c r="C796" s="161"/>
      <c r="D796" s="161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184"/>
      <c r="B797" s="224"/>
      <c r="C797" s="161"/>
      <c r="D797" s="161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184"/>
      <c r="B798" s="224"/>
      <c r="C798" s="161"/>
      <c r="D798" s="161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184"/>
      <c r="B799" s="224"/>
      <c r="C799" s="161"/>
      <c r="D799" s="161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184"/>
      <c r="B800" s="224"/>
      <c r="C800" s="161"/>
      <c r="D800" s="161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184"/>
      <c r="B801" s="224"/>
      <c r="C801" s="161"/>
      <c r="D801" s="161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184"/>
      <c r="B802" s="224"/>
      <c r="C802" s="161"/>
      <c r="D802" s="161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184"/>
      <c r="B803" s="224"/>
      <c r="C803" s="161"/>
      <c r="D803" s="161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184"/>
      <c r="B804" s="224"/>
      <c r="C804" s="161"/>
      <c r="D804" s="161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184"/>
      <c r="B805" s="224"/>
      <c r="C805" s="161"/>
      <c r="D805" s="161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184"/>
      <c r="B806" s="224"/>
      <c r="C806" s="161"/>
      <c r="D806" s="161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184"/>
      <c r="B807" s="224"/>
      <c r="C807" s="161"/>
      <c r="D807" s="161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184"/>
      <c r="B808" s="224"/>
      <c r="C808" s="161"/>
      <c r="D808" s="161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184"/>
      <c r="B809" s="224"/>
      <c r="C809" s="161"/>
      <c r="D809" s="161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184"/>
      <c r="B810" s="224"/>
      <c r="C810" s="161"/>
      <c r="D810" s="161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184"/>
      <c r="B811" s="224"/>
      <c r="C811" s="161"/>
      <c r="D811" s="161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184"/>
      <c r="B812" s="224"/>
      <c r="C812" s="161"/>
      <c r="D812" s="161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184"/>
      <c r="B813" s="224"/>
      <c r="C813" s="161"/>
      <c r="D813" s="161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184"/>
      <c r="B814" s="224"/>
      <c r="C814" s="161"/>
      <c r="D814" s="161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184"/>
      <c r="B815" s="224"/>
      <c r="C815" s="161"/>
      <c r="D815" s="161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184"/>
      <c r="B816" s="224"/>
      <c r="C816" s="161"/>
      <c r="D816" s="161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184"/>
      <c r="B817" s="224"/>
      <c r="C817" s="161"/>
      <c r="D817" s="161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184"/>
      <c r="B818" s="224"/>
      <c r="C818" s="161"/>
      <c r="D818" s="161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184"/>
      <c r="B819" s="224"/>
      <c r="C819" s="161"/>
      <c r="D819" s="161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184"/>
      <c r="B820" s="224"/>
      <c r="C820" s="161"/>
      <c r="D820" s="161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184"/>
      <c r="B821" s="224"/>
      <c r="C821" s="161"/>
      <c r="D821" s="161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184"/>
      <c r="B822" s="224"/>
      <c r="C822" s="161"/>
      <c r="D822" s="161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184"/>
      <c r="B823" s="224"/>
      <c r="C823" s="161"/>
      <c r="D823" s="161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184"/>
      <c r="B824" s="224"/>
      <c r="C824" s="161"/>
      <c r="D824" s="161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184"/>
      <c r="B825" s="224"/>
      <c r="C825" s="161"/>
      <c r="D825" s="161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184"/>
      <c r="B826" s="224"/>
      <c r="C826" s="161"/>
      <c r="D826" s="161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184"/>
      <c r="B827" s="224"/>
      <c r="C827" s="161"/>
      <c r="D827" s="161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184"/>
      <c r="B828" s="224"/>
      <c r="C828" s="161"/>
      <c r="D828" s="161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184"/>
      <c r="B829" s="224"/>
      <c r="C829" s="161"/>
      <c r="D829" s="161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184"/>
      <c r="B830" s="224"/>
      <c r="C830" s="161"/>
      <c r="D830" s="161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184"/>
      <c r="B831" s="224"/>
      <c r="C831" s="161"/>
      <c r="D831" s="161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184"/>
      <c r="B832" s="224"/>
      <c r="C832" s="161"/>
      <c r="D832" s="161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184"/>
      <c r="B833" s="224"/>
      <c r="C833" s="161"/>
      <c r="D833" s="161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184"/>
      <c r="B834" s="224"/>
      <c r="C834" s="161"/>
      <c r="D834" s="161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184"/>
      <c r="B835" s="224"/>
      <c r="C835" s="161"/>
      <c r="D835" s="161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184"/>
      <c r="B836" s="224"/>
      <c r="C836" s="161"/>
      <c r="D836" s="161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184"/>
      <c r="B837" s="224"/>
      <c r="C837" s="161"/>
      <c r="D837" s="161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184"/>
      <c r="B838" s="224"/>
      <c r="C838" s="161"/>
      <c r="D838" s="161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184"/>
      <c r="B839" s="224"/>
      <c r="C839" s="161"/>
      <c r="D839" s="161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184"/>
      <c r="B840" s="224"/>
      <c r="C840" s="161"/>
      <c r="D840" s="161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184"/>
      <c r="B841" s="224"/>
      <c r="C841" s="161"/>
      <c r="D841" s="161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184"/>
      <c r="B842" s="224"/>
      <c r="C842" s="161"/>
      <c r="D842" s="161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184"/>
      <c r="B843" s="224"/>
      <c r="C843" s="161"/>
      <c r="D843" s="161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184"/>
      <c r="B844" s="224"/>
      <c r="C844" s="161"/>
      <c r="D844" s="161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184"/>
      <c r="B845" s="224"/>
      <c r="C845" s="161"/>
      <c r="D845" s="161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184"/>
      <c r="B846" s="224"/>
      <c r="C846" s="161"/>
      <c r="D846" s="161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184"/>
      <c r="B847" s="224"/>
      <c r="C847" s="161"/>
      <c r="D847" s="161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184"/>
      <c r="B848" s="224"/>
      <c r="C848" s="161"/>
      <c r="D848" s="161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184"/>
      <c r="B849" s="224"/>
      <c r="C849" s="161"/>
      <c r="D849" s="161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184"/>
      <c r="B850" s="224"/>
      <c r="C850" s="161"/>
      <c r="D850" s="161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184"/>
      <c r="B851" s="224"/>
      <c r="C851" s="161"/>
      <c r="D851" s="161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184"/>
      <c r="B852" s="224"/>
      <c r="C852" s="161"/>
      <c r="D852" s="161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184"/>
      <c r="B853" s="224"/>
      <c r="C853" s="161"/>
      <c r="D853" s="161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184"/>
      <c r="B854" s="224"/>
      <c r="C854" s="161"/>
      <c r="D854" s="161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184"/>
      <c r="B855" s="224"/>
      <c r="C855" s="161"/>
      <c r="D855" s="161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184"/>
      <c r="B856" s="224"/>
      <c r="C856" s="161"/>
      <c r="D856" s="161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184"/>
      <c r="B857" s="224"/>
      <c r="C857" s="161"/>
      <c r="D857" s="161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184"/>
      <c r="B858" s="224"/>
      <c r="C858" s="161"/>
      <c r="D858" s="161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184"/>
      <c r="B859" s="224"/>
      <c r="C859" s="161"/>
      <c r="D859" s="161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184"/>
      <c r="B860" s="224"/>
      <c r="C860" s="161"/>
      <c r="D860" s="161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184"/>
      <c r="B861" s="224"/>
      <c r="C861" s="161"/>
      <c r="D861" s="161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184"/>
      <c r="B862" s="224"/>
      <c r="C862" s="161"/>
      <c r="D862" s="161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184"/>
      <c r="B863" s="224"/>
      <c r="C863" s="161"/>
      <c r="D863" s="161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184"/>
      <c r="B864" s="224"/>
      <c r="C864" s="161"/>
      <c r="D864" s="161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184"/>
      <c r="B865" s="224"/>
      <c r="C865" s="161"/>
      <c r="D865" s="161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184"/>
      <c r="B866" s="224"/>
      <c r="C866" s="161"/>
      <c r="D866" s="161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184"/>
      <c r="B867" s="224"/>
      <c r="C867" s="161"/>
      <c r="D867" s="161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184"/>
      <c r="B868" s="224"/>
      <c r="C868" s="161"/>
      <c r="D868" s="161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184"/>
      <c r="B869" s="224"/>
      <c r="C869" s="161"/>
      <c r="D869" s="161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184"/>
      <c r="B870" s="224"/>
      <c r="C870" s="161"/>
      <c r="D870" s="161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184"/>
      <c r="B871" s="224"/>
      <c r="C871" s="161"/>
      <c r="D871" s="161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184"/>
      <c r="B872" s="224"/>
      <c r="C872" s="161"/>
      <c r="D872" s="161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184"/>
      <c r="B873" s="224"/>
      <c r="C873" s="161"/>
      <c r="D873" s="161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184"/>
      <c r="B874" s="224"/>
      <c r="C874" s="161"/>
      <c r="D874" s="161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184"/>
      <c r="B875" s="224"/>
      <c r="C875" s="161"/>
      <c r="D875" s="161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184"/>
      <c r="B876" s="224"/>
      <c r="C876" s="161"/>
      <c r="D876" s="161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184"/>
      <c r="B877" s="224"/>
      <c r="C877" s="161"/>
      <c r="D877" s="161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184"/>
      <c r="B878" s="224"/>
      <c r="C878" s="161"/>
      <c r="D878" s="161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184"/>
      <c r="B879" s="224"/>
      <c r="C879" s="161"/>
      <c r="D879" s="161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184"/>
      <c r="B880" s="224"/>
      <c r="C880" s="161"/>
      <c r="D880" s="161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184"/>
      <c r="B881" s="224"/>
      <c r="C881" s="161"/>
      <c r="D881" s="161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184"/>
      <c r="B882" s="224"/>
      <c r="C882" s="161"/>
      <c r="D882" s="161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184"/>
      <c r="B883" s="224"/>
      <c r="C883" s="161"/>
      <c r="D883" s="161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184"/>
      <c r="B884" s="224"/>
      <c r="C884" s="161"/>
      <c r="D884" s="161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184"/>
      <c r="B885" s="224"/>
      <c r="C885" s="161"/>
      <c r="D885" s="161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184"/>
      <c r="B886" s="224"/>
      <c r="C886" s="161"/>
      <c r="D886" s="161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184"/>
      <c r="B887" s="224"/>
      <c r="C887" s="161"/>
      <c r="D887" s="161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184"/>
      <c r="B888" s="224"/>
      <c r="C888" s="161"/>
      <c r="D888" s="161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184"/>
      <c r="B889" s="224"/>
      <c r="C889" s="161"/>
      <c r="D889" s="161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184"/>
      <c r="B890" s="224"/>
      <c r="C890" s="161"/>
      <c r="D890" s="161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184"/>
      <c r="B891" s="224"/>
      <c r="C891" s="161"/>
      <c r="D891" s="161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184"/>
      <c r="B892" s="224"/>
      <c r="C892" s="161"/>
      <c r="D892" s="161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184"/>
      <c r="B893" s="224"/>
      <c r="C893" s="161"/>
      <c r="D893" s="161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184"/>
      <c r="B894" s="224"/>
      <c r="C894" s="161"/>
      <c r="D894" s="161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184"/>
      <c r="B895" s="224"/>
      <c r="C895" s="161"/>
      <c r="D895" s="161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184"/>
      <c r="B896" s="224"/>
      <c r="C896" s="161"/>
      <c r="D896" s="161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184"/>
      <c r="B897" s="224"/>
      <c r="C897" s="161"/>
      <c r="D897" s="161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184"/>
      <c r="B898" s="224"/>
      <c r="C898" s="161"/>
      <c r="D898" s="161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184"/>
      <c r="B899" s="224"/>
      <c r="C899" s="161"/>
      <c r="D899" s="161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184"/>
      <c r="B900" s="224"/>
      <c r="C900" s="161"/>
      <c r="D900" s="161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184"/>
      <c r="B901" s="224"/>
      <c r="C901" s="161"/>
      <c r="D901" s="161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184"/>
      <c r="B902" s="224"/>
      <c r="C902" s="161"/>
      <c r="D902" s="161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184"/>
      <c r="B903" s="224"/>
      <c r="C903" s="161"/>
      <c r="D903" s="161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184"/>
      <c r="B904" s="224"/>
      <c r="C904" s="161"/>
      <c r="D904" s="161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184"/>
      <c r="B905" s="224"/>
      <c r="C905" s="161"/>
      <c r="D905" s="161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184"/>
      <c r="B906" s="224"/>
      <c r="C906" s="161"/>
      <c r="D906" s="161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184"/>
      <c r="B907" s="224"/>
      <c r="C907" s="161"/>
      <c r="D907" s="161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184"/>
      <c r="B908" s="224"/>
      <c r="C908" s="161"/>
      <c r="D908" s="161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184"/>
      <c r="B909" s="224"/>
      <c r="C909" s="161"/>
      <c r="D909" s="161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184"/>
      <c r="B910" s="224"/>
      <c r="C910" s="161"/>
      <c r="D910" s="161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184"/>
      <c r="B911" s="224"/>
      <c r="C911" s="161"/>
      <c r="D911" s="161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184"/>
      <c r="B912" s="224"/>
      <c r="C912" s="161"/>
      <c r="D912" s="161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184"/>
      <c r="B913" s="224"/>
      <c r="C913" s="161"/>
      <c r="D913" s="161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184"/>
      <c r="B914" s="224"/>
      <c r="C914" s="161"/>
      <c r="D914" s="161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184"/>
      <c r="B915" s="224"/>
      <c r="C915" s="161"/>
      <c r="D915" s="161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184"/>
      <c r="B916" s="224"/>
      <c r="C916" s="161"/>
      <c r="D916" s="161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184"/>
      <c r="B917" s="224"/>
      <c r="C917" s="161"/>
      <c r="D917" s="161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184"/>
      <c r="B918" s="224"/>
      <c r="C918" s="161"/>
      <c r="D918" s="161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184"/>
      <c r="B919" s="224"/>
      <c r="C919" s="161"/>
      <c r="D919" s="161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184"/>
      <c r="B920" s="224"/>
      <c r="C920" s="161"/>
      <c r="D920" s="161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184"/>
      <c r="B921" s="224"/>
      <c r="C921" s="161"/>
      <c r="D921" s="161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184"/>
      <c r="B922" s="224"/>
      <c r="C922" s="161"/>
      <c r="D922" s="161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184"/>
      <c r="B923" s="224"/>
      <c r="C923" s="161"/>
      <c r="D923" s="161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184"/>
      <c r="B924" s="224"/>
      <c r="C924" s="161"/>
      <c r="D924" s="161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184"/>
      <c r="B925" s="224"/>
      <c r="C925" s="161"/>
      <c r="D925" s="161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184"/>
      <c r="B926" s="224"/>
      <c r="C926" s="161"/>
      <c r="D926" s="161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184"/>
      <c r="B927" s="224"/>
      <c r="C927" s="161"/>
      <c r="D927" s="161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184"/>
      <c r="B928" s="224"/>
      <c r="C928" s="161"/>
      <c r="D928" s="161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184"/>
      <c r="B929" s="224"/>
      <c r="C929" s="161"/>
      <c r="D929" s="161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184"/>
      <c r="B930" s="224"/>
      <c r="C930" s="161"/>
      <c r="D930" s="161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184"/>
      <c r="B931" s="224"/>
      <c r="C931" s="161"/>
      <c r="D931" s="161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184"/>
      <c r="B932" s="224"/>
      <c r="C932" s="161"/>
      <c r="D932" s="161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184"/>
      <c r="B933" s="224"/>
      <c r="C933" s="161"/>
      <c r="D933" s="161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184"/>
      <c r="B934" s="224"/>
      <c r="C934" s="161"/>
      <c r="D934" s="161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184"/>
      <c r="B935" s="224"/>
      <c r="C935" s="161"/>
      <c r="D935" s="161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184"/>
      <c r="B936" s="224"/>
      <c r="C936" s="161"/>
      <c r="D936" s="161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184"/>
      <c r="B937" s="224"/>
      <c r="C937" s="161"/>
      <c r="D937" s="161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184"/>
      <c r="B938" s="224"/>
      <c r="C938" s="161"/>
      <c r="D938" s="161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184"/>
      <c r="B939" s="224"/>
      <c r="C939" s="161"/>
      <c r="D939" s="161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184"/>
      <c r="B940" s="224"/>
      <c r="C940" s="161"/>
      <c r="D940" s="161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184"/>
      <c r="B941" s="224"/>
      <c r="C941" s="161"/>
      <c r="D941" s="161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184"/>
      <c r="B942" s="224"/>
      <c r="C942" s="161"/>
      <c r="D942" s="161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184"/>
      <c r="B943" s="224"/>
      <c r="C943" s="161"/>
      <c r="D943" s="161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184"/>
      <c r="B944" s="224"/>
      <c r="C944" s="161"/>
      <c r="D944" s="161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184"/>
      <c r="B945" s="224"/>
      <c r="C945" s="161"/>
      <c r="D945" s="161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184"/>
      <c r="B946" s="224"/>
      <c r="C946" s="161"/>
      <c r="D946" s="161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184"/>
      <c r="B947" s="224"/>
      <c r="C947" s="161"/>
      <c r="D947" s="161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184"/>
      <c r="B948" s="224"/>
      <c r="C948" s="161"/>
      <c r="D948" s="161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184"/>
      <c r="B949" s="224"/>
      <c r="C949" s="161"/>
      <c r="D949" s="161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184"/>
      <c r="B950" s="224"/>
      <c r="C950" s="161"/>
      <c r="D950" s="161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184"/>
      <c r="B951" s="224"/>
      <c r="C951" s="161"/>
      <c r="D951" s="161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184"/>
      <c r="B952" s="224"/>
      <c r="C952" s="161"/>
      <c r="D952" s="161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184"/>
      <c r="B953" s="224"/>
      <c r="C953" s="161"/>
      <c r="D953" s="161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184"/>
      <c r="B954" s="224"/>
      <c r="C954" s="161"/>
      <c r="D954" s="161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184"/>
      <c r="B955" s="224"/>
      <c r="C955" s="161"/>
      <c r="D955" s="161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184"/>
      <c r="B956" s="224"/>
      <c r="C956" s="161"/>
      <c r="D956" s="161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184"/>
      <c r="B957" s="224"/>
      <c r="C957" s="161"/>
      <c r="D957" s="161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184"/>
      <c r="B958" s="224"/>
      <c r="C958" s="161"/>
      <c r="D958" s="161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184"/>
      <c r="B959" s="224"/>
      <c r="C959" s="161"/>
      <c r="D959" s="161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184"/>
      <c r="B960" s="224"/>
      <c r="C960" s="161"/>
      <c r="D960" s="161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184"/>
      <c r="B961" s="224"/>
      <c r="C961" s="161"/>
      <c r="D961" s="161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184"/>
      <c r="B962" s="224"/>
      <c r="C962" s="161"/>
      <c r="D962" s="161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184"/>
      <c r="B963" s="224"/>
      <c r="C963" s="161"/>
      <c r="D963" s="161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184"/>
      <c r="B964" s="224"/>
      <c r="C964" s="161"/>
      <c r="D964" s="161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184"/>
      <c r="B965" s="224"/>
      <c r="C965" s="161"/>
      <c r="D965" s="161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184"/>
      <c r="B966" s="224"/>
      <c r="C966" s="161"/>
      <c r="D966" s="161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184"/>
      <c r="B967" s="224"/>
      <c r="C967" s="161"/>
      <c r="D967" s="161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184"/>
      <c r="B968" s="224"/>
      <c r="C968" s="161"/>
      <c r="D968" s="161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184"/>
      <c r="B969" s="224"/>
      <c r="C969" s="161"/>
      <c r="D969" s="161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184"/>
      <c r="B970" s="224"/>
      <c r="C970" s="161"/>
      <c r="D970" s="161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184"/>
      <c r="B971" s="224"/>
      <c r="C971" s="161"/>
      <c r="D971" s="161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184"/>
      <c r="B972" s="224"/>
      <c r="C972" s="161"/>
      <c r="D972" s="161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184"/>
      <c r="B973" s="224"/>
      <c r="C973" s="161"/>
      <c r="D973" s="161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184"/>
      <c r="B974" s="224"/>
      <c r="C974" s="161"/>
      <c r="D974" s="161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184"/>
      <c r="B975" s="224"/>
      <c r="C975" s="161"/>
      <c r="D975" s="161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184"/>
      <c r="B976" s="224"/>
      <c r="C976" s="161"/>
      <c r="D976" s="161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184"/>
      <c r="B977" s="224"/>
      <c r="C977" s="161"/>
      <c r="D977" s="161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184"/>
      <c r="B978" s="224"/>
      <c r="C978" s="161"/>
      <c r="D978" s="161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184"/>
      <c r="B979" s="224"/>
      <c r="C979" s="161"/>
      <c r="D979" s="161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184"/>
      <c r="B980" s="224"/>
      <c r="C980" s="161"/>
      <c r="D980" s="161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184"/>
      <c r="B981" s="224"/>
      <c r="C981" s="161"/>
      <c r="D981" s="161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184"/>
      <c r="B982" s="224"/>
      <c r="C982" s="161"/>
      <c r="D982" s="161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184"/>
      <c r="B983" s="224"/>
      <c r="C983" s="161"/>
      <c r="D983" s="161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184"/>
      <c r="B984" s="224"/>
      <c r="C984" s="161"/>
      <c r="D984" s="161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184"/>
      <c r="B985" s="224"/>
      <c r="C985" s="161"/>
      <c r="D985" s="161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184"/>
      <c r="B986" s="224"/>
      <c r="C986" s="161"/>
      <c r="D986" s="161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184"/>
      <c r="B987" s="224"/>
      <c r="C987" s="161"/>
      <c r="D987" s="161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184"/>
      <c r="B988" s="224"/>
      <c r="C988" s="161"/>
      <c r="D988" s="161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184"/>
      <c r="B989" s="224"/>
      <c r="C989" s="161"/>
      <c r="D989" s="161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184"/>
      <c r="B990" s="224"/>
      <c r="C990" s="161"/>
      <c r="D990" s="161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184"/>
      <c r="B991" s="224"/>
      <c r="C991" s="161"/>
      <c r="D991" s="161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184"/>
      <c r="B992" s="224"/>
      <c r="C992" s="161"/>
      <c r="D992" s="161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184"/>
      <c r="B993" s="224"/>
      <c r="C993" s="161"/>
      <c r="D993" s="161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184"/>
      <c r="B994" s="224"/>
      <c r="C994" s="161"/>
      <c r="D994" s="161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184"/>
      <c r="B995" s="224"/>
      <c r="C995" s="161"/>
      <c r="D995" s="161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184"/>
      <c r="B996" s="224"/>
      <c r="C996" s="161"/>
      <c r="D996" s="161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184"/>
      <c r="B997" s="224"/>
      <c r="C997" s="161"/>
      <c r="D997" s="161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4.0" customHeight="1">
      <c r="A998" s="184"/>
      <c r="B998" s="224"/>
      <c r="C998" s="161"/>
      <c r="D998" s="161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4.0" customHeight="1">
      <c r="A999" s="184"/>
      <c r="B999" s="224"/>
      <c r="C999" s="161"/>
      <c r="D999" s="161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4.0" customHeight="1">
      <c r="A1000" s="184"/>
      <c r="B1000" s="224"/>
      <c r="C1000" s="161"/>
      <c r="D1000" s="161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2:C3"/>
  </mergeCells>
  <printOptions horizontalCentered="1"/>
  <pageMargins bottom="0.5" footer="0.0" header="0.0" left="0.3" right="0.3" top="0.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5.88"/>
    <col customWidth="1" min="3" max="14" width="14.38"/>
    <col customWidth="1" min="15" max="15" width="17.63"/>
    <col customWidth="1" min="16" max="16" width="2.75"/>
    <col customWidth="1" min="17" max="27" width="16.63"/>
  </cols>
  <sheetData>
    <row r="1" ht="60.0" customHeight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7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8.5" customHeight="1">
      <c r="A2" s="10"/>
      <c r="B2" s="11"/>
      <c r="C2" s="13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7"/>
      <c r="P2" s="18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54.75" customHeight="1">
      <c r="A3" s="20"/>
      <c r="B3" s="21">
        <v>2025.0</v>
      </c>
      <c r="C3" s="22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6"/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45.0" customHeight="1">
      <c r="A4" s="10"/>
      <c r="B4" s="30"/>
      <c r="C4" s="13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7"/>
      <c r="P4" s="18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30.0" customHeight="1">
      <c r="A5" s="36"/>
      <c r="B5" s="37" t="s">
        <v>3</v>
      </c>
      <c r="C5" s="38" t="s">
        <v>4</v>
      </c>
      <c r="D5" s="6">
        <v>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44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6.0" customHeight="1">
      <c r="A6" s="48"/>
      <c r="B6" s="49"/>
      <c r="C6" s="51" t="s">
        <v>5</v>
      </c>
      <c r="D6" s="51" t="s">
        <v>6</v>
      </c>
      <c r="E6" s="51" t="s">
        <v>7</v>
      </c>
      <c r="F6" s="51" t="s">
        <v>8</v>
      </c>
      <c r="G6" s="51" t="s">
        <v>9</v>
      </c>
      <c r="H6" s="51" t="s">
        <v>10</v>
      </c>
      <c r="I6" s="52" t="s">
        <v>11</v>
      </c>
      <c r="J6" s="51" t="s">
        <v>12</v>
      </c>
      <c r="K6" s="51" t="s">
        <v>13</v>
      </c>
      <c r="L6" s="51" t="s">
        <v>14</v>
      </c>
      <c r="M6" s="51" t="s">
        <v>15</v>
      </c>
      <c r="N6" s="51" t="s">
        <v>16</v>
      </c>
      <c r="O6" s="53" t="s">
        <v>17</v>
      </c>
      <c r="P6" s="48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ht="24.0" customHeight="1">
      <c r="A7" s="58"/>
      <c r="B7" s="60"/>
      <c r="C7" s="61"/>
      <c r="D7" s="62"/>
      <c r="E7" s="62"/>
      <c r="F7" s="62"/>
      <c r="G7" s="62"/>
      <c r="H7" s="62"/>
      <c r="I7" s="63"/>
      <c r="J7" s="62"/>
      <c r="K7" s="62"/>
      <c r="L7" s="62"/>
      <c r="M7" s="62"/>
      <c r="N7" s="62"/>
      <c r="O7" s="70"/>
      <c r="P7" s="71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ht="24.0" hidden="1" customHeight="1">
      <c r="A8" s="36"/>
      <c r="B8" s="76"/>
      <c r="C8" s="77"/>
      <c r="D8" s="78"/>
      <c r="E8" s="78"/>
      <c r="F8" s="78"/>
      <c r="G8" s="78"/>
      <c r="H8" s="78"/>
      <c r="I8" s="80"/>
      <c r="J8" s="78"/>
      <c r="K8" s="78"/>
      <c r="L8" s="78"/>
      <c r="M8" s="78"/>
      <c r="N8" s="78"/>
      <c r="O8" s="6"/>
      <c r="P8" s="44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4.0" customHeight="1">
      <c r="A9" s="36"/>
      <c r="B9" s="84" t="s">
        <v>18</v>
      </c>
      <c r="C9" s="87">
        <f>50249.97+3000</f>
        <v>53249.97</v>
      </c>
      <c r="D9" s="87">
        <f>52097.05+3000</f>
        <v>55097.05</v>
      </c>
      <c r="E9" s="87">
        <f>50905.55+3000</f>
        <v>53905.55</v>
      </c>
      <c r="F9" s="87">
        <f>42120.94+3000</f>
        <v>45120.94</v>
      </c>
      <c r="G9" s="87">
        <f>23232.87+3000</f>
        <v>26232.87</v>
      </c>
      <c r="H9" s="87">
        <f>15734.49+3000</f>
        <v>18734.49</v>
      </c>
      <c r="I9" s="87">
        <f>24570.91+3000</f>
        <v>27570.91</v>
      </c>
      <c r="J9" s="87">
        <f>37723.81+3000</f>
        <v>40723.81</v>
      </c>
      <c r="K9" s="87">
        <v>27285.88</v>
      </c>
      <c r="L9" s="87">
        <v>11264.51</v>
      </c>
      <c r="M9" s="87">
        <v>31595.01</v>
      </c>
      <c r="N9" s="87">
        <v>49402.97</v>
      </c>
      <c r="O9" s="87">
        <f t="shared" ref="O9:O10" si="1">SUM(C9:N9)</f>
        <v>440183.96</v>
      </c>
      <c r="P9" s="44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4.0" customHeight="1">
      <c r="A10" s="36"/>
      <c r="B10" s="84" t="s">
        <v>35</v>
      </c>
      <c r="C10" s="87">
        <v>29783.168008007888</v>
      </c>
      <c r="D10" s="87">
        <v>39692.99295857988</v>
      </c>
      <c r="E10" s="87">
        <v>40568.944674556216</v>
      </c>
      <c r="F10" s="87">
        <v>28814.164674556214</v>
      </c>
      <c r="G10" s="87">
        <v>28875.064674556215</v>
      </c>
      <c r="H10" s="87">
        <v>20134.20467455621</v>
      </c>
      <c r="I10" s="87">
        <v>21608.05755424063</v>
      </c>
      <c r="J10" s="87">
        <v>39741.894674556206</v>
      </c>
      <c r="K10" s="87">
        <v>22423.584674556216</v>
      </c>
      <c r="L10" s="87">
        <v>22405.464674556213</v>
      </c>
      <c r="M10" s="87">
        <v>34424.05467455622</v>
      </c>
      <c r="N10" s="87">
        <v>29992.0</v>
      </c>
      <c r="O10" s="87">
        <f t="shared" si="1"/>
        <v>358463.5959</v>
      </c>
      <c r="P10" s="44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4.0" customHeight="1">
      <c r="A11" s="58"/>
      <c r="B11" s="76" t="s">
        <v>37</v>
      </c>
      <c r="C11" s="108">
        <f t="shared" ref="C11:O11" si="2">SUM(C9-C10)</f>
        <v>23466.80199</v>
      </c>
      <c r="D11" s="109">
        <f t="shared" si="2"/>
        <v>15404.05704</v>
      </c>
      <c r="E11" s="109">
        <f t="shared" si="2"/>
        <v>13336.60533</v>
      </c>
      <c r="F11" s="109">
        <f t="shared" si="2"/>
        <v>16306.77533</v>
      </c>
      <c r="G11" s="111">
        <f t="shared" si="2"/>
        <v>-2642.194675</v>
      </c>
      <c r="H11" s="111">
        <f t="shared" si="2"/>
        <v>-1399.714675</v>
      </c>
      <c r="I11" s="109">
        <f t="shared" si="2"/>
        <v>5962.852446</v>
      </c>
      <c r="J11" s="112">
        <f t="shared" si="2"/>
        <v>981.9153254</v>
      </c>
      <c r="K11" s="109">
        <f t="shared" si="2"/>
        <v>4862.295325</v>
      </c>
      <c r="L11" s="111">
        <f t="shared" si="2"/>
        <v>-11140.95467</v>
      </c>
      <c r="M11" s="112">
        <f t="shared" si="2"/>
        <v>-2829.044675</v>
      </c>
      <c r="N11" s="112">
        <f t="shared" si="2"/>
        <v>19410.97</v>
      </c>
      <c r="O11" s="108">
        <f t="shared" si="2"/>
        <v>81720.36408</v>
      </c>
      <c r="P11" s="71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ht="24.0" customHeight="1">
      <c r="A12" s="58"/>
      <c r="B12" s="60"/>
      <c r="C12" s="116"/>
      <c r="D12" s="118"/>
      <c r="E12" s="118"/>
      <c r="F12" s="118"/>
      <c r="G12" s="118"/>
      <c r="H12" s="118"/>
      <c r="I12" s="120"/>
      <c r="J12" s="118"/>
      <c r="K12" s="118"/>
      <c r="L12" s="118"/>
      <c r="M12" s="62"/>
      <c r="N12" s="62"/>
      <c r="O12" s="70"/>
      <c r="P12" s="71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ht="24.0" hidden="1" customHeight="1">
      <c r="A13" s="36"/>
      <c r="B13" s="76"/>
      <c r="C13" s="109"/>
      <c r="D13" s="124"/>
      <c r="E13" s="124"/>
      <c r="F13" s="124"/>
      <c r="G13" s="124"/>
      <c r="H13" s="124"/>
      <c r="I13" s="126"/>
      <c r="J13" s="124"/>
      <c r="K13" s="124"/>
      <c r="L13" s="124"/>
      <c r="M13" s="78"/>
      <c r="N13" s="78"/>
      <c r="O13" s="6"/>
      <c r="P13" s="44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4.0" customHeight="1">
      <c r="A14" s="36"/>
      <c r="B14" s="130" t="s">
        <v>41</v>
      </c>
      <c r="C14" s="131">
        <v>0.9</v>
      </c>
      <c r="D14" s="131">
        <v>0.94</v>
      </c>
      <c r="E14" s="131">
        <v>0.9</v>
      </c>
      <c r="F14" s="131">
        <v>0.77</v>
      </c>
      <c r="G14" s="131">
        <v>0.54</v>
      </c>
      <c r="H14" s="131">
        <v>0.43</v>
      </c>
      <c r="I14" s="131">
        <v>0.73</v>
      </c>
      <c r="J14" s="131">
        <v>0.78</v>
      </c>
      <c r="K14" s="131">
        <v>0.7</v>
      </c>
      <c r="L14" s="131">
        <v>0.44</v>
      </c>
      <c r="M14" s="132">
        <v>0.7</v>
      </c>
      <c r="N14" s="131" t="s">
        <v>43</v>
      </c>
      <c r="O14" s="135">
        <v>0.71</v>
      </c>
      <c r="P14" s="44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4.0" customHeight="1">
      <c r="A15" s="36"/>
      <c r="B15" s="130" t="s">
        <v>44</v>
      </c>
      <c r="C15" s="96">
        <v>75.7</v>
      </c>
      <c r="D15" s="96" t="s">
        <v>46</v>
      </c>
      <c r="E15" s="96" t="s">
        <v>47</v>
      </c>
      <c r="F15" s="96" t="s">
        <v>48</v>
      </c>
      <c r="G15" s="96" t="s">
        <v>49</v>
      </c>
      <c r="H15" s="96" t="s">
        <v>50</v>
      </c>
      <c r="I15" s="96" t="s">
        <v>51</v>
      </c>
      <c r="J15" s="96" t="s">
        <v>53</v>
      </c>
      <c r="K15" s="96" t="s">
        <v>54</v>
      </c>
      <c r="L15" s="96" t="s">
        <v>55</v>
      </c>
      <c r="M15" s="96">
        <v>58.93</v>
      </c>
      <c r="N15" s="138">
        <v>79.5</v>
      </c>
      <c r="O15" s="138">
        <f t="shared" ref="O15:O16" si="3">AVERAGE(C15:N15)</f>
        <v>71.37666667</v>
      </c>
      <c r="P15" s="44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4.0" customHeight="1">
      <c r="A16" s="36"/>
      <c r="B16" s="130" t="s">
        <v>56</v>
      </c>
      <c r="C16" s="96">
        <v>68.24</v>
      </c>
      <c r="D16" s="96" t="s">
        <v>59</v>
      </c>
      <c r="E16" s="96" t="s">
        <v>60</v>
      </c>
      <c r="F16" s="96" t="s">
        <v>61</v>
      </c>
      <c r="G16" s="96" t="s">
        <v>62</v>
      </c>
      <c r="H16" s="96" t="s">
        <v>63</v>
      </c>
      <c r="I16" s="96" t="s">
        <v>64</v>
      </c>
      <c r="J16" s="96" t="s">
        <v>65</v>
      </c>
      <c r="K16" s="96" t="s">
        <v>66</v>
      </c>
      <c r="L16" s="96" t="s">
        <v>67</v>
      </c>
      <c r="M16" s="96">
        <v>47.14</v>
      </c>
      <c r="N16" s="138">
        <v>59.92</v>
      </c>
      <c r="O16" s="138">
        <f t="shared" si="3"/>
        <v>58.43333333</v>
      </c>
      <c r="P16" s="44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4.0" customHeight="1">
      <c r="A17" s="36"/>
      <c r="B17" s="130" t="s">
        <v>68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2"/>
      <c r="N17" s="142"/>
      <c r="O17" s="138">
        <v>87.16</v>
      </c>
      <c r="P17" s="44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4.0" customHeight="1">
      <c r="A18" s="36"/>
      <c r="B18" s="130" t="s">
        <v>69</v>
      </c>
      <c r="C18" s="96"/>
      <c r="D18" s="141"/>
      <c r="E18" s="141"/>
      <c r="F18" s="141"/>
      <c r="G18" s="141"/>
      <c r="H18" s="141"/>
      <c r="I18" s="144"/>
      <c r="J18" s="141"/>
      <c r="K18" s="141"/>
      <c r="L18" s="141"/>
      <c r="M18" s="142"/>
      <c r="N18" s="142"/>
      <c r="O18" s="138">
        <v>69.31</v>
      </c>
      <c r="P18" s="44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4.0" customHeight="1">
      <c r="A19" s="36"/>
      <c r="B19" s="130" t="s">
        <v>71</v>
      </c>
      <c r="C19" s="96"/>
      <c r="D19" s="141"/>
      <c r="E19" s="141"/>
      <c r="F19" s="141"/>
      <c r="G19" s="141"/>
      <c r="H19" s="141"/>
      <c r="I19" s="144"/>
      <c r="J19" s="141"/>
      <c r="K19" s="141"/>
      <c r="L19" s="141"/>
      <c r="M19" s="142"/>
      <c r="N19" s="142"/>
      <c r="O19" s="138"/>
      <c r="P19" s="44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4.0" customHeight="1">
      <c r="A20" s="58"/>
      <c r="B20" s="130" t="s">
        <v>73</v>
      </c>
      <c r="C20" s="96"/>
      <c r="D20" s="141"/>
      <c r="E20" s="141"/>
      <c r="F20" s="141"/>
      <c r="G20" s="141"/>
      <c r="H20" s="141"/>
      <c r="I20" s="144"/>
      <c r="J20" s="141"/>
      <c r="K20" s="141"/>
      <c r="L20" s="141"/>
      <c r="M20" s="142"/>
      <c r="N20" s="142"/>
      <c r="O20" s="138"/>
      <c r="P20" s="71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ht="24.0" customHeight="1">
      <c r="A21" s="36"/>
      <c r="B21" s="130" t="s">
        <v>74</v>
      </c>
      <c r="C21" s="130"/>
      <c r="D21" s="96"/>
      <c r="E21" s="141"/>
      <c r="F21" s="141"/>
      <c r="G21" s="141"/>
      <c r="H21" s="141"/>
      <c r="I21" s="141"/>
      <c r="J21" s="144"/>
      <c r="K21" s="141"/>
      <c r="L21" s="141"/>
      <c r="M21" s="141"/>
      <c r="N21" s="142"/>
      <c r="O21" s="138">
        <v>12.67</v>
      </c>
      <c r="P21" s="153"/>
      <c r="Q21" s="44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4.0" customHeight="1">
      <c r="A22" s="58"/>
      <c r="B22" s="154"/>
      <c r="C22" s="61"/>
      <c r="D22" s="62"/>
      <c r="E22" s="62"/>
      <c r="F22" s="62"/>
      <c r="G22" s="62"/>
      <c r="H22" s="62"/>
      <c r="I22" s="63"/>
      <c r="J22" s="62"/>
      <c r="K22" s="62"/>
      <c r="L22" s="62"/>
      <c r="M22" s="62"/>
      <c r="N22" s="62"/>
      <c r="O22" s="70"/>
      <c r="P22" s="71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ht="24.0" hidden="1" customHeight="1">
      <c r="A23" s="36"/>
      <c r="B23" s="155"/>
      <c r="C23" s="77"/>
      <c r="D23" s="78"/>
      <c r="E23" s="78"/>
      <c r="F23" s="78"/>
      <c r="G23" s="78"/>
      <c r="H23" s="78"/>
      <c r="I23" s="80"/>
      <c r="J23" s="78"/>
      <c r="K23" s="78"/>
      <c r="L23" s="78"/>
      <c r="M23" s="78"/>
      <c r="N23" s="78"/>
      <c r="O23" s="6"/>
      <c r="P23" s="44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4.0" customHeight="1">
      <c r="A24" s="36"/>
      <c r="C24" s="157"/>
      <c r="D24" s="158"/>
      <c r="E24" s="158"/>
      <c r="F24" s="158"/>
      <c r="G24" s="158"/>
      <c r="H24" s="158"/>
      <c r="I24" s="159"/>
      <c r="J24" s="158"/>
      <c r="K24" s="158"/>
      <c r="L24" s="158"/>
      <c r="M24" s="158"/>
      <c r="N24" s="158"/>
      <c r="O24" s="161"/>
      <c r="P24" s="44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4.0" customHeight="1">
      <c r="A25" s="36"/>
      <c r="B25" s="163"/>
      <c r="C25" s="164"/>
      <c r="D25" s="164"/>
      <c r="E25" s="164"/>
      <c r="F25" s="164"/>
      <c r="G25" s="164"/>
      <c r="H25" s="165"/>
      <c r="I25" s="165"/>
      <c r="J25" s="165"/>
      <c r="K25" s="165"/>
      <c r="L25" s="165"/>
      <c r="M25" s="142"/>
      <c r="N25" s="142"/>
      <c r="O25" s="153"/>
      <c r="P25" s="44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4.0" customHeight="1">
      <c r="A26" s="36"/>
      <c r="B26" s="163"/>
      <c r="C26" s="167"/>
      <c r="D26" s="142"/>
      <c r="E26" s="142"/>
      <c r="F26" s="142"/>
      <c r="G26" s="142"/>
      <c r="H26" s="142"/>
      <c r="I26" s="169"/>
      <c r="J26" s="142"/>
      <c r="K26" s="142"/>
      <c r="L26" s="142"/>
      <c r="M26" s="142"/>
      <c r="N26" s="142"/>
      <c r="O26" s="153"/>
      <c r="P26" s="44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4.0" customHeight="1">
      <c r="A27" s="36"/>
      <c r="B27" s="163"/>
      <c r="C27" s="167"/>
      <c r="D27" s="142"/>
      <c r="E27" s="142"/>
      <c r="F27" s="142"/>
      <c r="G27" s="142"/>
      <c r="H27" s="142"/>
      <c r="I27" s="169"/>
      <c r="J27" s="142"/>
      <c r="K27" s="142"/>
      <c r="L27" s="142"/>
      <c r="M27" s="142"/>
      <c r="N27" s="142"/>
      <c r="O27" s="153"/>
      <c r="P27" s="44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4.0" customHeight="1">
      <c r="A28" s="36"/>
      <c r="B28" s="163"/>
      <c r="C28" s="167"/>
      <c r="D28" s="142"/>
      <c r="E28" s="142"/>
      <c r="F28" s="142"/>
      <c r="G28" s="142"/>
      <c r="H28" s="142"/>
      <c r="I28" s="169"/>
      <c r="J28" s="142"/>
      <c r="K28" s="142"/>
      <c r="L28" s="142"/>
      <c r="M28" s="142"/>
      <c r="N28" s="142"/>
      <c r="O28" s="153"/>
      <c r="P28" s="44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4.0" customHeight="1">
      <c r="A29" s="36"/>
      <c r="B29" s="163"/>
      <c r="C29" s="167"/>
      <c r="D29" s="142"/>
      <c r="E29" s="142"/>
      <c r="F29" s="142"/>
      <c r="G29" s="142"/>
      <c r="H29" s="142"/>
      <c r="I29" s="169"/>
      <c r="J29" s="142"/>
      <c r="K29" s="142"/>
      <c r="L29" s="142"/>
      <c r="M29" s="142"/>
      <c r="N29" s="142"/>
      <c r="O29" s="153"/>
      <c r="P29" s="44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4.0" customHeight="1">
      <c r="A30" s="36"/>
      <c r="B30" s="155"/>
      <c r="C30" s="77"/>
      <c r="D30" s="78"/>
      <c r="E30" s="78"/>
      <c r="F30" s="78"/>
      <c r="G30" s="78"/>
      <c r="H30" s="78"/>
      <c r="I30" s="80"/>
      <c r="J30" s="78"/>
      <c r="K30" s="78"/>
      <c r="L30" s="78"/>
      <c r="M30" s="78"/>
      <c r="N30" s="78"/>
      <c r="O30" s="6"/>
      <c r="P30" s="44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4.0" customHeight="1">
      <c r="A31" s="58"/>
      <c r="B31" s="154"/>
      <c r="C31" s="61"/>
      <c r="D31" s="62"/>
      <c r="E31" s="62"/>
      <c r="F31" s="62"/>
      <c r="G31" s="62"/>
      <c r="H31" s="62"/>
      <c r="I31" s="63"/>
      <c r="J31" s="62"/>
      <c r="K31" s="62"/>
      <c r="L31" s="62"/>
      <c r="M31" s="62"/>
      <c r="N31" s="62"/>
      <c r="O31" s="70"/>
      <c r="P31" s="71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ht="24.0" hidden="1" customHeight="1">
      <c r="A32" s="36"/>
      <c r="B32" s="155"/>
      <c r="C32" s="77"/>
      <c r="D32" s="78"/>
      <c r="E32" s="78"/>
      <c r="F32" s="78"/>
      <c r="G32" s="78"/>
      <c r="H32" s="78"/>
      <c r="I32" s="80"/>
      <c r="J32" s="78"/>
      <c r="K32" s="78"/>
      <c r="L32" s="78"/>
      <c r="M32" s="78"/>
      <c r="N32" s="78"/>
      <c r="O32" s="6"/>
      <c r="P32" s="44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4.0" customHeight="1">
      <c r="A33" s="36"/>
      <c r="B33" s="163"/>
      <c r="C33" s="167"/>
      <c r="D33" s="142"/>
      <c r="E33" s="142"/>
      <c r="F33" s="142"/>
      <c r="G33" s="142"/>
      <c r="H33" s="142"/>
      <c r="I33" s="169"/>
      <c r="J33" s="142"/>
      <c r="K33" s="142"/>
      <c r="L33" s="142"/>
      <c r="M33" s="142"/>
      <c r="N33" s="142"/>
      <c r="O33" s="153"/>
      <c r="P33" s="44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4.0" customHeight="1">
      <c r="A34" s="36"/>
      <c r="B34" s="163"/>
      <c r="C34" s="167"/>
      <c r="D34" s="142"/>
      <c r="E34" s="142"/>
      <c r="F34" s="142"/>
      <c r="G34" s="142"/>
      <c r="H34" s="142"/>
      <c r="I34" s="169"/>
      <c r="J34" s="142"/>
      <c r="K34" s="142"/>
      <c r="L34" s="142"/>
      <c r="M34" s="142"/>
      <c r="N34" s="142"/>
      <c r="O34" s="153"/>
      <c r="P34" s="44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4.0" customHeight="1">
      <c r="A35" s="36"/>
      <c r="B35" s="155"/>
      <c r="C35" s="77"/>
      <c r="D35" s="78"/>
      <c r="E35" s="78"/>
      <c r="F35" s="78"/>
      <c r="G35" s="78"/>
      <c r="H35" s="78"/>
      <c r="I35" s="80"/>
      <c r="J35" s="78"/>
      <c r="K35" s="78"/>
      <c r="L35" s="78"/>
      <c r="M35" s="78"/>
      <c r="N35" s="78"/>
      <c r="O35" s="6"/>
      <c r="P35" s="44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36.0" customHeight="1">
      <c r="A36" s="36"/>
      <c r="B36" s="178"/>
      <c r="C36" s="179"/>
      <c r="D36" s="180"/>
      <c r="E36" s="180"/>
      <c r="F36" s="180"/>
      <c r="G36" s="180"/>
      <c r="H36" s="180"/>
      <c r="I36" s="181"/>
      <c r="J36" s="180"/>
      <c r="K36" s="180"/>
      <c r="L36" s="180"/>
      <c r="M36" s="180"/>
      <c r="N36" s="180"/>
      <c r="O36" s="182"/>
      <c r="P36" s="44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4.0" customHeight="1">
      <c r="A37" s="36"/>
      <c r="B37" s="155"/>
      <c r="C37" s="77"/>
      <c r="D37" s="6"/>
      <c r="E37" s="6"/>
      <c r="F37" s="6"/>
      <c r="G37" s="6"/>
      <c r="H37" s="6"/>
      <c r="I37" s="80"/>
      <c r="J37" s="6"/>
      <c r="K37" s="6"/>
      <c r="L37" s="6"/>
      <c r="M37" s="6"/>
      <c r="N37" s="6"/>
      <c r="O37" s="6"/>
      <c r="P37" s="44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4.0" customHeight="1">
      <c r="A38" s="184"/>
      <c r="B38" s="8"/>
      <c r="C38" s="185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4.0" customHeight="1">
      <c r="A39" s="184"/>
      <c r="B39" s="8"/>
      <c r="C39" s="185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4.0" customHeight="1">
      <c r="A40" s="184"/>
      <c r="B40" s="8"/>
      <c r="C40" s="185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4.0" customHeight="1">
      <c r="A41" s="184"/>
      <c r="B41" s="8"/>
      <c r="C41" s="185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4.0" customHeight="1">
      <c r="A42" s="184"/>
      <c r="B42" s="8"/>
      <c r="C42" s="185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4.0" customHeight="1">
      <c r="A43" s="184"/>
      <c r="B43" s="8"/>
      <c r="C43" s="185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4.0" customHeight="1">
      <c r="A44" s="184"/>
      <c r="B44" s="8"/>
      <c r="C44" s="185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4.0" customHeight="1">
      <c r="A45" s="184"/>
      <c r="B45" s="8"/>
      <c r="C45" s="185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4.0" customHeight="1">
      <c r="A46" s="184"/>
      <c r="B46" s="8"/>
      <c r="C46" s="185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4.0" customHeight="1">
      <c r="A47" s="184"/>
      <c r="B47" s="8"/>
      <c r="C47" s="185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4.0" customHeight="1">
      <c r="A48" s="184"/>
      <c r="B48" s="8"/>
      <c r="C48" s="185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4.0" customHeight="1">
      <c r="A49" s="184"/>
      <c r="B49" s="8"/>
      <c r="C49" s="185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4.0" customHeight="1">
      <c r="A50" s="184"/>
      <c r="B50" s="8"/>
      <c r="C50" s="185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4.0" customHeight="1">
      <c r="A51" s="184"/>
      <c r="B51" s="8"/>
      <c r="C51" s="185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4.0" customHeight="1">
      <c r="A52" s="184"/>
      <c r="B52" s="8"/>
      <c r="C52" s="185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4.0" customHeight="1">
      <c r="A53" s="184"/>
      <c r="B53" s="8"/>
      <c r="C53" s="185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4.0" customHeight="1">
      <c r="A54" s="184"/>
      <c r="B54" s="8"/>
      <c r="C54" s="185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4.0" customHeight="1">
      <c r="A55" s="184"/>
      <c r="B55" s="8"/>
      <c r="C55" s="185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4.0" customHeight="1">
      <c r="A56" s="184"/>
      <c r="B56" s="8"/>
      <c r="C56" s="185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4.0" customHeight="1">
      <c r="A57" s="184"/>
      <c r="B57" s="8"/>
      <c r="C57" s="185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4.0" customHeight="1">
      <c r="A58" s="184"/>
      <c r="B58" s="8"/>
      <c r="C58" s="185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4.0" customHeight="1">
      <c r="A59" s="184"/>
      <c r="B59" s="8"/>
      <c r="C59" s="185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4.0" customHeight="1">
      <c r="A60" s="184"/>
      <c r="B60" s="8"/>
      <c r="C60" s="185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4.0" customHeight="1">
      <c r="A61" s="184"/>
      <c r="B61" s="8"/>
      <c r="C61" s="185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4.0" customHeight="1">
      <c r="A62" s="184"/>
      <c r="B62" s="8"/>
      <c r="C62" s="185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4.0" customHeight="1">
      <c r="A63" s="184"/>
      <c r="B63" s="8"/>
      <c r="C63" s="185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4.0" customHeight="1">
      <c r="A64" s="184"/>
      <c r="B64" s="8"/>
      <c r="C64" s="185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4.0" customHeight="1">
      <c r="A65" s="184"/>
      <c r="B65" s="8"/>
      <c r="C65" s="185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4.0" customHeight="1">
      <c r="A66" s="184"/>
      <c r="B66" s="8"/>
      <c r="C66" s="185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4.0" customHeight="1">
      <c r="A67" s="184"/>
      <c r="B67" s="8"/>
      <c r="C67" s="185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184"/>
      <c r="B68" s="8"/>
      <c r="C68" s="185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4.0" customHeight="1">
      <c r="A69" s="184"/>
      <c r="B69" s="8"/>
      <c r="C69" s="185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4.0" customHeight="1">
      <c r="A70" s="184"/>
      <c r="B70" s="8"/>
      <c r="C70" s="185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4.0" customHeight="1">
      <c r="A71" s="184"/>
      <c r="B71" s="8"/>
      <c r="C71" s="185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4.0" customHeight="1">
      <c r="A72" s="184"/>
      <c r="B72" s="8"/>
      <c r="C72" s="185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4.0" customHeight="1">
      <c r="A73" s="184"/>
      <c r="B73" s="8"/>
      <c r="C73" s="185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4.0" customHeight="1">
      <c r="A74" s="184"/>
      <c r="B74" s="8"/>
      <c r="C74" s="185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4.0" customHeight="1">
      <c r="A75" s="184"/>
      <c r="B75" s="8"/>
      <c r="C75" s="185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4.0" customHeight="1">
      <c r="A76" s="184"/>
      <c r="B76" s="8"/>
      <c r="C76" s="185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4.0" customHeight="1">
      <c r="A77" s="184"/>
      <c r="B77" s="8"/>
      <c r="C77" s="185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4.0" customHeight="1">
      <c r="A78" s="184"/>
      <c r="B78" s="8"/>
      <c r="C78" s="185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4.0" customHeight="1">
      <c r="A79" s="184"/>
      <c r="B79" s="8"/>
      <c r="C79" s="185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4.0" customHeight="1">
      <c r="A80" s="184"/>
      <c r="B80" s="8"/>
      <c r="C80" s="185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4.0" customHeight="1">
      <c r="A81" s="184"/>
      <c r="B81" s="8"/>
      <c r="C81" s="185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184"/>
      <c r="B82" s="8"/>
      <c r="C82" s="185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4.0" customHeight="1">
      <c r="A83" s="184"/>
      <c r="B83" s="8"/>
      <c r="C83" s="185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4.0" customHeight="1">
      <c r="A84" s="184"/>
      <c r="B84" s="8"/>
      <c r="C84" s="185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4.0" customHeight="1">
      <c r="A85" s="184"/>
      <c r="B85" s="8"/>
      <c r="C85" s="185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4.0" customHeight="1">
      <c r="A86" s="184"/>
      <c r="B86" s="8"/>
      <c r="C86" s="185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4.0" customHeight="1">
      <c r="A87" s="184"/>
      <c r="B87" s="8"/>
      <c r="C87" s="185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4.0" customHeight="1">
      <c r="A88" s="184"/>
      <c r="B88" s="8"/>
      <c r="C88" s="185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4.0" customHeight="1">
      <c r="A89" s="184"/>
      <c r="B89" s="8"/>
      <c r="C89" s="185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4.0" customHeight="1">
      <c r="A90" s="184"/>
      <c r="B90" s="8"/>
      <c r="C90" s="185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4.0" customHeight="1">
      <c r="A91" s="184"/>
      <c r="B91" s="8"/>
      <c r="C91" s="185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4.0" customHeight="1">
      <c r="A92" s="184"/>
      <c r="B92" s="8"/>
      <c r="C92" s="185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4.0" customHeight="1">
      <c r="A93" s="184"/>
      <c r="B93" s="8"/>
      <c r="C93" s="185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4.0" customHeight="1">
      <c r="A94" s="184"/>
      <c r="B94" s="8"/>
      <c r="C94" s="185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4.0" customHeight="1">
      <c r="A95" s="184"/>
      <c r="B95" s="8"/>
      <c r="C95" s="185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184"/>
      <c r="B96" s="8"/>
      <c r="C96" s="185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4.0" customHeight="1">
      <c r="A97" s="184"/>
      <c r="B97" s="8"/>
      <c r="C97" s="185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4.0" customHeight="1">
      <c r="A98" s="184"/>
      <c r="B98" s="8"/>
      <c r="C98" s="185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4.0" customHeight="1">
      <c r="A99" s="184"/>
      <c r="B99" s="8"/>
      <c r="C99" s="185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4.0" customHeight="1">
      <c r="A100" s="184"/>
      <c r="B100" s="8"/>
      <c r="C100" s="185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4.0" customHeight="1">
      <c r="A101" s="184"/>
      <c r="B101" s="8"/>
      <c r="C101" s="185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4.0" customHeight="1">
      <c r="A102" s="184"/>
      <c r="B102" s="8"/>
      <c r="C102" s="185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4.0" customHeight="1">
      <c r="A103" s="184"/>
      <c r="B103" s="8"/>
      <c r="C103" s="185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4.0" customHeight="1">
      <c r="A104" s="184"/>
      <c r="B104" s="8"/>
      <c r="C104" s="185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4.0" customHeight="1">
      <c r="A105" s="184"/>
      <c r="B105" s="8"/>
      <c r="C105" s="185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4.0" customHeight="1">
      <c r="A106" s="184"/>
      <c r="B106" s="8"/>
      <c r="C106" s="185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4.0" customHeight="1">
      <c r="A107" s="184"/>
      <c r="B107" s="8"/>
      <c r="C107" s="185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4.0" customHeight="1">
      <c r="A108" s="184"/>
      <c r="B108" s="8"/>
      <c r="C108" s="185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4.0" customHeight="1">
      <c r="A109" s="184"/>
      <c r="B109" s="8"/>
      <c r="C109" s="185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24.0" customHeight="1">
      <c r="A110" s="184"/>
      <c r="B110" s="8"/>
      <c r="C110" s="185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184"/>
      <c r="B111" s="8"/>
      <c r="C111" s="185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24.0" customHeight="1">
      <c r="A112" s="184"/>
      <c r="B112" s="8"/>
      <c r="C112" s="185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4.0" customHeight="1">
      <c r="A113" s="184"/>
      <c r="B113" s="8"/>
      <c r="C113" s="185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4.0" customHeight="1">
      <c r="A114" s="184"/>
      <c r="B114" s="8"/>
      <c r="C114" s="185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4.0" customHeight="1">
      <c r="A115" s="184"/>
      <c r="B115" s="8"/>
      <c r="C115" s="185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4.0" customHeight="1">
      <c r="A116" s="184"/>
      <c r="B116" s="8"/>
      <c r="C116" s="185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24.0" customHeight="1">
      <c r="A117" s="184"/>
      <c r="B117" s="8"/>
      <c r="C117" s="185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24.0" customHeight="1">
      <c r="A118" s="184"/>
      <c r="B118" s="8"/>
      <c r="C118" s="185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24.0" customHeight="1">
      <c r="A119" s="184"/>
      <c r="B119" s="8"/>
      <c r="C119" s="185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24.0" customHeight="1">
      <c r="A120" s="184"/>
      <c r="B120" s="8"/>
      <c r="C120" s="185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4.0" customHeight="1">
      <c r="A121" s="184"/>
      <c r="B121" s="8"/>
      <c r="C121" s="185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4.0" customHeight="1">
      <c r="A122" s="184"/>
      <c r="B122" s="8"/>
      <c r="C122" s="185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24.0" customHeight="1">
      <c r="A123" s="184"/>
      <c r="B123" s="8"/>
      <c r="C123" s="185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24.0" customHeight="1">
      <c r="A124" s="184"/>
      <c r="B124" s="8"/>
      <c r="C124" s="185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24.0" customHeight="1">
      <c r="A125" s="184"/>
      <c r="B125" s="8"/>
      <c r="C125" s="185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24.0" customHeight="1">
      <c r="A126" s="184"/>
      <c r="B126" s="8"/>
      <c r="C126" s="185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24.0" customHeight="1">
      <c r="A127" s="184"/>
      <c r="B127" s="8"/>
      <c r="C127" s="185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24.0" customHeight="1">
      <c r="A128" s="184"/>
      <c r="B128" s="8"/>
      <c r="C128" s="185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24.0" customHeight="1">
      <c r="A129" s="184"/>
      <c r="B129" s="8"/>
      <c r="C129" s="185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24.0" customHeight="1">
      <c r="A130" s="184"/>
      <c r="B130" s="8"/>
      <c r="C130" s="185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24.0" customHeight="1">
      <c r="A131" s="184"/>
      <c r="B131" s="8"/>
      <c r="C131" s="185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24.0" customHeight="1">
      <c r="A132" s="184"/>
      <c r="B132" s="8"/>
      <c r="C132" s="185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24.0" customHeight="1">
      <c r="A133" s="184"/>
      <c r="B133" s="8"/>
      <c r="C133" s="185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24.0" customHeight="1">
      <c r="A134" s="184"/>
      <c r="B134" s="8"/>
      <c r="C134" s="185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24.0" customHeight="1">
      <c r="A135" s="184"/>
      <c r="B135" s="8"/>
      <c r="C135" s="185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24.0" customHeight="1">
      <c r="A136" s="184"/>
      <c r="B136" s="8"/>
      <c r="C136" s="185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24.0" customHeight="1">
      <c r="A137" s="184"/>
      <c r="B137" s="8"/>
      <c r="C137" s="185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24.0" customHeight="1">
      <c r="A138" s="184"/>
      <c r="B138" s="8"/>
      <c r="C138" s="185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24.0" customHeight="1">
      <c r="A139" s="184"/>
      <c r="B139" s="8"/>
      <c r="C139" s="185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24.0" customHeight="1">
      <c r="A140" s="184"/>
      <c r="B140" s="8"/>
      <c r="C140" s="185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24.0" customHeight="1">
      <c r="A141" s="184"/>
      <c r="B141" s="8"/>
      <c r="C141" s="185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24.0" customHeight="1">
      <c r="A142" s="184"/>
      <c r="B142" s="8"/>
      <c r="C142" s="185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24.0" customHeight="1">
      <c r="A143" s="184"/>
      <c r="B143" s="8"/>
      <c r="C143" s="185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24.0" customHeight="1">
      <c r="A144" s="184"/>
      <c r="B144" s="8"/>
      <c r="C144" s="185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24.0" customHeight="1">
      <c r="A145" s="184"/>
      <c r="B145" s="8"/>
      <c r="C145" s="185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24.0" customHeight="1">
      <c r="A146" s="184"/>
      <c r="B146" s="8"/>
      <c r="C146" s="185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24.0" customHeight="1">
      <c r="A147" s="184"/>
      <c r="B147" s="8"/>
      <c r="C147" s="185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24.0" customHeight="1">
      <c r="A148" s="184"/>
      <c r="B148" s="8"/>
      <c r="C148" s="185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24.0" customHeight="1">
      <c r="A149" s="184"/>
      <c r="B149" s="8"/>
      <c r="C149" s="185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24.0" customHeight="1">
      <c r="A150" s="184"/>
      <c r="B150" s="8"/>
      <c r="C150" s="185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24.0" customHeight="1">
      <c r="A151" s="184"/>
      <c r="B151" s="8"/>
      <c r="C151" s="185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24.0" customHeight="1">
      <c r="A152" s="184"/>
      <c r="B152" s="8"/>
      <c r="C152" s="185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24.0" customHeight="1">
      <c r="A153" s="184"/>
      <c r="B153" s="8"/>
      <c r="C153" s="185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24.0" customHeight="1">
      <c r="A154" s="184"/>
      <c r="B154" s="8"/>
      <c r="C154" s="185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24.0" customHeight="1">
      <c r="A155" s="184"/>
      <c r="B155" s="8"/>
      <c r="C155" s="185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24.0" customHeight="1">
      <c r="A156" s="184"/>
      <c r="B156" s="8"/>
      <c r="C156" s="185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24.0" customHeight="1">
      <c r="A157" s="184"/>
      <c r="B157" s="8"/>
      <c r="C157" s="185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24.0" customHeight="1">
      <c r="A158" s="184"/>
      <c r="B158" s="8"/>
      <c r="C158" s="185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24.0" customHeight="1">
      <c r="A159" s="184"/>
      <c r="B159" s="8"/>
      <c r="C159" s="185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24.0" customHeight="1">
      <c r="A160" s="184"/>
      <c r="B160" s="8"/>
      <c r="C160" s="185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24.0" customHeight="1">
      <c r="A161" s="184"/>
      <c r="B161" s="8"/>
      <c r="C161" s="185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24.0" customHeight="1">
      <c r="A162" s="184"/>
      <c r="B162" s="8"/>
      <c r="C162" s="185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24.0" customHeight="1">
      <c r="A163" s="184"/>
      <c r="B163" s="8"/>
      <c r="C163" s="185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24.0" customHeight="1">
      <c r="A164" s="184"/>
      <c r="B164" s="8"/>
      <c r="C164" s="185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24.0" customHeight="1">
      <c r="A165" s="184"/>
      <c r="B165" s="8"/>
      <c r="C165" s="185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24.0" customHeight="1">
      <c r="A166" s="184"/>
      <c r="B166" s="8"/>
      <c r="C166" s="185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24.0" customHeight="1">
      <c r="A167" s="184"/>
      <c r="B167" s="8"/>
      <c r="C167" s="185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24.0" customHeight="1">
      <c r="A168" s="184"/>
      <c r="B168" s="8"/>
      <c r="C168" s="185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24.0" customHeight="1">
      <c r="A169" s="184"/>
      <c r="B169" s="8"/>
      <c r="C169" s="185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24.0" customHeight="1">
      <c r="A170" s="184"/>
      <c r="B170" s="8"/>
      <c r="C170" s="185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24.0" customHeight="1">
      <c r="A171" s="184"/>
      <c r="B171" s="8"/>
      <c r="C171" s="185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24.0" customHeight="1">
      <c r="A172" s="184"/>
      <c r="B172" s="8"/>
      <c r="C172" s="185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24.0" customHeight="1">
      <c r="A173" s="184"/>
      <c r="B173" s="8"/>
      <c r="C173" s="185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24.0" customHeight="1">
      <c r="A174" s="184"/>
      <c r="B174" s="8"/>
      <c r="C174" s="185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24.0" customHeight="1">
      <c r="A175" s="184"/>
      <c r="B175" s="8"/>
      <c r="C175" s="185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24.0" customHeight="1">
      <c r="A176" s="184"/>
      <c r="B176" s="8"/>
      <c r="C176" s="185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24.0" customHeight="1">
      <c r="A177" s="184"/>
      <c r="B177" s="8"/>
      <c r="C177" s="185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24.0" customHeight="1">
      <c r="A178" s="184"/>
      <c r="B178" s="8"/>
      <c r="C178" s="185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24.0" customHeight="1">
      <c r="A179" s="184"/>
      <c r="B179" s="8"/>
      <c r="C179" s="185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24.0" customHeight="1">
      <c r="A180" s="184"/>
      <c r="B180" s="8"/>
      <c r="C180" s="185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24.0" customHeight="1">
      <c r="A181" s="184"/>
      <c r="B181" s="8"/>
      <c r="C181" s="185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24.0" customHeight="1">
      <c r="A182" s="184"/>
      <c r="B182" s="8"/>
      <c r="C182" s="185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24.0" customHeight="1">
      <c r="A183" s="184"/>
      <c r="B183" s="8"/>
      <c r="C183" s="185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24.0" customHeight="1">
      <c r="A184" s="184"/>
      <c r="B184" s="8"/>
      <c r="C184" s="185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24.0" customHeight="1">
      <c r="A185" s="184"/>
      <c r="B185" s="8"/>
      <c r="C185" s="185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24.0" customHeight="1">
      <c r="A186" s="184"/>
      <c r="B186" s="8"/>
      <c r="C186" s="185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24.0" customHeight="1">
      <c r="A187" s="184"/>
      <c r="B187" s="8"/>
      <c r="C187" s="185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24.0" customHeight="1">
      <c r="A188" s="184"/>
      <c r="B188" s="8"/>
      <c r="C188" s="185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24.0" customHeight="1">
      <c r="A189" s="184"/>
      <c r="B189" s="8"/>
      <c r="C189" s="185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24.0" customHeight="1">
      <c r="A190" s="184"/>
      <c r="B190" s="8"/>
      <c r="C190" s="185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24.0" customHeight="1">
      <c r="A191" s="184"/>
      <c r="B191" s="8"/>
      <c r="C191" s="185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24.0" customHeight="1">
      <c r="A192" s="184"/>
      <c r="B192" s="8"/>
      <c r="C192" s="185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24.0" customHeight="1">
      <c r="A193" s="184"/>
      <c r="B193" s="8"/>
      <c r="C193" s="185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24.0" customHeight="1">
      <c r="A194" s="184"/>
      <c r="B194" s="8"/>
      <c r="C194" s="185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24.0" customHeight="1">
      <c r="A195" s="184"/>
      <c r="B195" s="8"/>
      <c r="C195" s="185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24.0" customHeight="1">
      <c r="A196" s="184"/>
      <c r="B196" s="8"/>
      <c r="C196" s="185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24.0" customHeight="1">
      <c r="A197" s="184"/>
      <c r="B197" s="8"/>
      <c r="C197" s="185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24.0" customHeight="1">
      <c r="A198" s="184"/>
      <c r="B198" s="8"/>
      <c r="C198" s="185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24.0" customHeight="1">
      <c r="A199" s="184"/>
      <c r="B199" s="8"/>
      <c r="C199" s="185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24.0" customHeight="1">
      <c r="A200" s="184"/>
      <c r="B200" s="8"/>
      <c r="C200" s="185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24.0" customHeight="1">
      <c r="A201" s="184"/>
      <c r="B201" s="8"/>
      <c r="C201" s="185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24.0" customHeight="1">
      <c r="A202" s="184"/>
      <c r="B202" s="8"/>
      <c r="C202" s="185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24.0" customHeight="1">
      <c r="A203" s="184"/>
      <c r="B203" s="8"/>
      <c r="C203" s="185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24.0" customHeight="1">
      <c r="A204" s="184"/>
      <c r="B204" s="8"/>
      <c r="C204" s="185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24.0" customHeight="1">
      <c r="A205" s="184"/>
      <c r="B205" s="8"/>
      <c r="C205" s="185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24.0" customHeight="1">
      <c r="A206" s="184"/>
      <c r="B206" s="8"/>
      <c r="C206" s="185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24.0" customHeight="1">
      <c r="A207" s="184"/>
      <c r="B207" s="8"/>
      <c r="C207" s="185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24.0" customHeight="1">
      <c r="A208" s="184"/>
      <c r="B208" s="8"/>
      <c r="C208" s="185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24.0" customHeight="1">
      <c r="A209" s="184"/>
      <c r="B209" s="8"/>
      <c r="C209" s="185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24.0" customHeight="1">
      <c r="A210" s="184"/>
      <c r="B210" s="8"/>
      <c r="C210" s="185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24.0" customHeight="1">
      <c r="A211" s="184"/>
      <c r="B211" s="8"/>
      <c r="C211" s="185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24.0" customHeight="1">
      <c r="A212" s="184"/>
      <c r="B212" s="8"/>
      <c r="C212" s="185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24.0" customHeight="1">
      <c r="A213" s="184"/>
      <c r="B213" s="8"/>
      <c r="C213" s="185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24.0" customHeight="1">
      <c r="A214" s="184"/>
      <c r="B214" s="8"/>
      <c r="C214" s="185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24.0" customHeight="1">
      <c r="A215" s="184"/>
      <c r="B215" s="8"/>
      <c r="C215" s="185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24.0" customHeight="1">
      <c r="A216" s="184"/>
      <c r="B216" s="8"/>
      <c r="C216" s="185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24.0" customHeight="1">
      <c r="A217" s="184"/>
      <c r="B217" s="8"/>
      <c r="C217" s="185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24.0" customHeight="1">
      <c r="A218" s="184"/>
      <c r="B218" s="8"/>
      <c r="C218" s="185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24.0" customHeight="1">
      <c r="A219" s="184"/>
      <c r="B219" s="8"/>
      <c r="C219" s="185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24.0" customHeight="1">
      <c r="A220" s="184"/>
      <c r="B220" s="8"/>
      <c r="C220" s="185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24.0" customHeight="1">
      <c r="A221" s="184"/>
      <c r="B221" s="8"/>
      <c r="C221" s="185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24.0" customHeight="1">
      <c r="A222" s="184"/>
      <c r="B222" s="8"/>
      <c r="C222" s="185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24.0" customHeight="1">
      <c r="A223" s="184"/>
      <c r="B223" s="8"/>
      <c r="C223" s="185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24.0" customHeight="1">
      <c r="A224" s="184"/>
      <c r="B224" s="8"/>
      <c r="C224" s="185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24.0" customHeight="1">
      <c r="A225" s="184"/>
      <c r="B225" s="8"/>
      <c r="C225" s="185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24.0" customHeight="1">
      <c r="A226" s="184"/>
      <c r="B226" s="8"/>
      <c r="C226" s="185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24.0" customHeight="1">
      <c r="A227" s="184"/>
      <c r="B227" s="8"/>
      <c r="C227" s="185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24.0" customHeight="1">
      <c r="A228" s="184"/>
      <c r="B228" s="8"/>
      <c r="C228" s="185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24.0" customHeight="1">
      <c r="A229" s="184"/>
      <c r="B229" s="8"/>
      <c r="C229" s="185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24.0" customHeight="1">
      <c r="A230" s="184"/>
      <c r="B230" s="8"/>
      <c r="C230" s="185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24.0" customHeight="1">
      <c r="A231" s="184"/>
      <c r="B231" s="8"/>
      <c r="C231" s="185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24.0" customHeight="1">
      <c r="A232" s="184"/>
      <c r="B232" s="8"/>
      <c r="C232" s="185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24.0" customHeight="1">
      <c r="A233" s="184"/>
      <c r="B233" s="8"/>
      <c r="C233" s="185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24.0" customHeight="1">
      <c r="A234" s="184"/>
      <c r="B234" s="8"/>
      <c r="C234" s="185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24.0" customHeight="1">
      <c r="A235" s="184"/>
      <c r="B235" s="8"/>
      <c r="C235" s="185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24.0" customHeight="1">
      <c r="A236" s="184"/>
      <c r="B236" s="8"/>
      <c r="C236" s="185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24.0" customHeight="1">
      <c r="A237" s="184"/>
      <c r="B237" s="8"/>
      <c r="C237" s="185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24.0" customHeight="1">
      <c r="A238" s="184"/>
      <c r="B238" s="8"/>
      <c r="C238" s="185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24.0" customHeight="1">
      <c r="A239" s="184"/>
      <c r="B239" s="8"/>
      <c r="C239" s="185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24.0" customHeight="1">
      <c r="A240" s="184"/>
      <c r="B240" s="8"/>
      <c r="C240" s="185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24.0" customHeight="1">
      <c r="A241" s="184"/>
      <c r="B241" s="8"/>
      <c r="C241" s="185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24.0" customHeight="1">
      <c r="A242" s="184"/>
      <c r="B242" s="8"/>
      <c r="C242" s="185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24.0" customHeight="1">
      <c r="A243" s="184"/>
      <c r="B243" s="8"/>
      <c r="C243" s="185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24.0" customHeight="1">
      <c r="A244" s="184"/>
      <c r="B244" s="8"/>
      <c r="C244" s="185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24.0" customHeight="1">
      <c r="A245" s="184"/>
      <c r="B245" s="8"/>
      <c r="C245" s="185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24.0" customHeight="1">
      <c r="A246" s="184"/>
      <c r="B246" s="8"/>
      <c r="C246" s="185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24.0" customHeight="1">
      <c r="A247" s="184"/>
      <c r="B247" s="8"/>
      <c r="C247" s="185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24.0" customHeight="1">
      <c r="A248" s="184"/>
      <c r="B248" s="8"/>
      <c r="C248" s="185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24.0" customHeight="1">
      <c r="A249" s="184"/>
      <c r="B249" s="8"/>
      <c r="C249" s="185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24.0" customHeight="1">
      <c r="A250" s="184"/>
      <c r="B250" s="8"/>
      <c r="C250" s="185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24.0" customHeight="1">
      <c r="A251" s="184"/>
      <c r="B251" s="8"/>
      <c r="C251" s="185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24.0" customHeight="1">
      <c r="A252" s="184"/>
      <c r="B252" s="8"/>
      <c r="C252" s="185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24.0" customHeight="1">
      <c r="A253" s="184"/>
      <c r="B253" s="8"/>
      <c r="C253" s="185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24.0" customHeight="1">
      <c r="A254" s="184"/>
      <c r="B254" s="8"/>
      <c r="C254" s="185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24.0" customHeight="1">
      <c r="A255" s="184"/>
      <c r="B255" s="8"/>
      <c r="C255" s="185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24.0" customHeight="1">
      <c r="A256" s="184"/>
      <c r="B256" s="8"/>
      <c r="C256" s="185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24.0" customHeight="1">
      <c r="A257" s="184"/>
      <c r="B257" s="8"/>
      <c r="C257" s="185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24.0" customHeight="1">
      <c r="A258" s="184"/>
      <c r="B258" s="8"/>
      <c r="C258" s="185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24.0" customHeight="1">
      <c r="A259" s="184"/>
      <c r="B259" s="8"/>
      <c r="C259" s="185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24.0" customHeight="1">
      <c r="A260" s="184"/>
      <c r="B260" s="8"/>
      <c r="C260" s="185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24.0" customHeight="1">
      <c r="A261" s="184"/>
      <c r="B261" s="8"/>
      <c r="C261" s="185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24.0" customHeight="1">
      <c r="A262" s="184"/>
      <c r="B262" s="8"/>
      <c r="C262" s="185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24.0" customHeight="1">
      <c r="A263" s="184"/>
      <c r="B263" s="8"/>
      <c r="C263" s="185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24.0" customHeight="1">
      <c r="A264" s="184"/>
      <c r="B264" s="8"/>
      <c r="C264" s="185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24.0" customHeight="1">
      <c r="A265" s="184"/>
      <c r="B265" s="8"/>
      <c r="C265" s="185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24.0" customHeight="1">
      <c r="A266" s="184"/>
      <c r="B266" s="8"/>
      <c r="C266" s="185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24.0" customHeight="1">
      <c r="A267" s="184"/>
      <c r="B267" s="8"/>
      <c r="C267" s="185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24.0" customHeight="1">
      <c r="A268" s="184"/>
      <c r="B268" s="8"/>
      <c r="C268" s="185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24.0" customHeight="1">
      <c r="A269" s="184"/>
      <c r="B269" s="8"/>
      <c r="C269" s="185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24.0" customHeight="1">
      <c r="A270" s="184"/>
      <c r="B270" s="8"/>
      <c r="C270" s="185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24.0" customHeight="1">
      <c r="A271" s="184"/>
      <c r="B271" s="8"/>
      <c r="C271" s="185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24.0" customHeight="1">
      <c r="A272" s="184"/>
      <c r="B272" s="8"/>
      <c r="C272" s="185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24.0" customHeight="1">
      <c r="A273" s="184"/>
      <c r="B273" s="8"/>
      <c r="C273" s="185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24.0" customHeight="1">
      <c r="A274" s="184"/>
      <c r="B274" s="8"/>
      <c r="C274" s="185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24.0" customHeight="1">
      <c r="A275" s="184"/>
      <c r="B275" s="8"/>
      <c r="C275" s="185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24.0" customHeight="1">
      <c r="A276" s="184"/>
      <c r="B276" s="8"/>
      <c r="C276" s="185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24.0" customHeight="1">
      <c r="A277" s="184"/>
      <c r="B277" s="8"/>
      <c r="C277" s="185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24.0" customHeight="1">
      <c r="A278" s="184"/>
      <c r="B278" s="8"/>
      <c r="C278" s="185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24.0" customHeight="1">
      <c r="A279" s="184"/>
      <c r="B279" s="8"/>
      <c r="C279" s="185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24.0" customHeight="1">
      <c r="A280" s="184"/>
      <c r="B280" s="8"/>
      <c r="C280" s="185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24.0" customHeight="1">
      <c r="A281" s="184"/>
      <c r="B281" s="8"/>
      <c r="C281" s="185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24.0" customHeight="1">
      <c r="A282" s="184"/>
      <c r="B282" s="8"/>
      <c r="C282" s="185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24.0" customHeight="1">
      <c r="A283" s="184"/>
      <c r="B283" s="8"/>
      <c r="C283" s="185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24.0" customHeight="1">
      <c r="A284" s="184"/>
      <c r="B284" s="8"/>
      <c r="C284" s="185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24.0" customHeight="1">
      <c r="A285" s="184"/>
      <c r="B285" s="8"/>
      <c r="C285" s="185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24.0" customHeight="1">
      <c r="A286" s="184"/>
      <c r="B286" s="8"/>
      <c r="C286" s="185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24.0" customHeight="1">
      <c r="A287" s="184"/>
      <c r="B287" s="8"/>
      <c r="C287" s="185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24.0" customHeight="1">
      <c r="A288" s="184"/>
      <c r="B288" s="8"/>
      <c r="C288" s="185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24.0" customHeight="1">
      <c r="A289" s="184"/>
      <c r="B289" s="8"/>
      <c r="C289" s="185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24.0" customHeight="1">
      <c r="A290" s="184"/>
      <c r="B290" s="8"/>
      <c r="C290" s="185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24.0" customHeight="1">
      <c r="A291" s="184"/>
      <c r="B291" s="8"/>
      <c r="C291" s="185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24.0" customHeight="1">
      <c r="A292" s="184"/>
      <c r="B292" s="8"/>
      <c r="C292" s="185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24.0" customHeight="1">
      <c r="A293" s="184"/>
      <c r="B293" s="8"/>
      <c r="C293" s="185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24.0" customHeight="1">
      <c r="A294" s="184"/>
      <c r="B294" s="8"/>
      <c r="C294" s="185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24.0" customHeight="1">
      <c r="A295" s="184"/>
      <c r="B295" s="8"/>
      <c r="C295" s="185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24.0" customHeight="1">
      <c r="A296" s="184"/>
      <c r="B296" s="8"/>
      <c r="C296" s="185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24.0" customHeight="1">
      <c r="A297" s="184"/>
      <c r="B297" s="8"/>
      <c r="C297" s="185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24.0" customHeight="1">
      <c r="A298" s="184"/>
      <c r="B298" s="8"/>
      <c r="C298" s="185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24.0" customHeight="1">
      <c r="A299" s="184"/>
      <c r="B299" s="8"/>
      <c r="C299" s="185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24.0" customHeight="1">
      <c r="A300" s="184"/>
      <c r="B300" s="8"/>
      <c r="C300" s="185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24.0" customHeight="1">
      <c r="A301" s="184"/>
      <c r="B301" s="8"/>
      <c r="C301" s="185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24.0" customHeight="1">
      <c r="A302" s="184"/>
      <c r="B302" s="8"/>
      <c r="C302" s="185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24.0" customHeight="1">
      <c r="A303" s="184"/>
      <c r="B303" s="8"/>
      <c r="C303" s="185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24.0" customHeight="1">
      <c r="A304" s="184"/>
      <c r="B304" s="8"/>
      <c r="C304" s="185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24.0" customHeight="1">
      <c r="A305" s="184"/>
      <c r="B305" s="8"/>
      <c r="C305" s="185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24.0" customHeight="1">
      <c r="A306" s="184"/>
      <c r="B306" s="8"/>
      <c r="C306" s="185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24.0" customHeight="1">
      <c r="A307" s="184"/>
      <c r="B307" s="8"/>
      <c r="C307" s="185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24.0" customHeight="1">
      <c r="A308" s="184"/>
      <c r="B308" s="8"/>
      <c r="C308" s="185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24.0" customHeight="1">
      <c r="A309" s="184"/>
      <c r="B309" s="8"/>
      <c r="C309" s="185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24.0" customHeight="1">
      <c r="A310" s="184"/>
      <c r="B310" s="8"/>
      <c r="C310" s="185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24.0" customHeight="1">
      <c r="A311" s="184"/>
      <c r="B311" s="8"/>
      <c r="C311" s="185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24.0" customHeight="1">
      <c r="A312" s="184"/>
      <c r="B312" s="8"/>
      <c r="C312" s="185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24.0" customHeight="1">
      <c r="A313" s="184"/>
      <c r="B313" s="8"/>
      <c r="C313" s="185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24.0" customHeight="1">
      <c r="A314" s="184"/>
      <c r="B314" s="8"/>
      <c r="C314" s="185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24.0" customHeight="1">
      <c r="A315" s="184"/>
      <c r="B315" s="8"/>
      <c r="C315" s="185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24.0" customHeight="1">
      <c r="A316" s="184"/>
      <c r="B316" s="8"/>
      <c r="C316" s="185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24.0" customHeight="1">
      <c r="A317" s="184"/>
      <c r="B317" s="8"/>
      <c r="C317" s="185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24.0" customHeight="1">
      <c r="A318" s="184"/>
      <c r="B318" s="8"/>
      <c r="C318" s="185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24.0" customHeight="1">
      <c r="A319" s="184"/>
      <c r="B319" s="8"/>
      <c r="C319" s="185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24.0" customHeight="1">
      <c r="A320" s="184"/>
      <c r="B320" s="8"/>
      <c r="C320" s="185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24.0" customHeight="1">
      <c r="A321" s="184"/>
      <c r="B321" s="8"/>
      <c r="C321" s="185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24.0" customHeight="1">
      <c r="A322" s="184"/>
      <c r="B322" s="8"/>
      <c r="C322" s="185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24.0" customHeight="1">
      <c r="A323" s="184"/>
      <c r="B323" s="8"/>
      <c r="C323" s="185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24.0" customHeight="1">
      <c r="A324" s="184"/>
      <c r="B324" s="8"/>
      <c r="C324" s="185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24.0" customHeight="1">
      <c r="A325" s="184"/>
      <c r="B325" s="8"/>
      <c r="C325" s="185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24.0" customHeight="1">
      <c r="A326" s="184"/>
      <c r="B326" s="8"/>
      <c r="C326" s="185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24.0" customHeight="1">
      <c r="A327" s="184"/>
      <c r="B327" s="8"/>
      <c r="C327" s="185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24.0" customHeight="1">
      <c r="A328" s="184"/>
      <c r="B328" s="8"/>
      <c r="C328" s="185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24.0" customHeight="1">
      <c r="A329" s="184"/>
      <c r="B329" s="8"/>
      <c r="C329" s="185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24.0" customHeight="1">
      <c r="A330" s="184"/>
      <c r="B330" s="8"/>
      <c r="C330" s="185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24.0" customHeight="1">
      <c r="A331" s="184"/>
      <c r="B331" s="8"/>
      <c r="C331" s="185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24.0" customHeight="1">
      <c r="A332" s="184"/>
      <c r="B332" s="8"/>
      <c r="C332" s="185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24.0" customHeight="1">
      <c r="A333" s="184"/>
      <c r="B333" s="8"/>
      <c r="C333" s="185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24.0" customHeight="1">
      <c r="A334" s="184"/>
      <c r="B334" s="8"/>
      <c r="C334" s="185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24.0" customHeight="1">
      <c r="A335" s="184"/>
      <c r="B335" s="8"/>
      <c r="C335" s="185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24.0" customHeight="1">
      <c r="A336" s="184"/>
      <c r="B336" s="8"/>
      <c r="C336" s="185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24.0" customHeight="1">
      <c r="A337" s="184"/>
      <c r="B337" s="8"/>
      <c r="C337" s="185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24.0" customHeight="1">
      <c r="A338" s="184"/>
      <c r="B338" s="8"/>
      <c r="C338" s="185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24.0" customHeight="1">
      <c r="A339" s="184"/>
      <c r="B339" s="8"/>
      <c r="C339" s="185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24.0" customHeight="1">
      <c r="A340" s="184"/>
      <c r="B340" s="8"/>
      <c r="C340" s="185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24.0" customHeight="1">
      <c r="A341" s="184"/>
      <c r="B341" s="8"/>
      <c r="C341" s="185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24.0" customHeight="1">
      <c r="A342" s="184"/>
      <c r="B342" s="8"/>
      <c r="C342" s="185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24.0" customHeight="1">
      <c r="A343" s="184"/>
      <c r="B343" s="8"/>
      <c r="C343" s="185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24.0" customHeight="1">
      <c r="A344" s="184"/>
      <c r="B344" s="8"/>
      <c r="C344" s="185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24.0" customHeight="1">
      <c r="A345" s="184"/>
      <c r="B345" s="8"/>
      <c r="C345" s="185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24.0" customHeight="1">
      <c r="A346" s="184"/>
      <c r="B346" s="8"/>
      <c r="C346" s="185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24.0" customHeight="1">
      <c r="A347" s="184"/>
      <c r="B347" s="8"/>
      <c r="C347" s="185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24.0" customHeight="1">
      <c r="A348" s="184"/>
      <c r="B348" s="8"/>
      <c r="C348" s="185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24.0" customHeight="1">
      <c r="A349" s="184"/>
      <c r="B349" s="8"/>
      <c r="C349" s="185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24.0" customHeight="1">
      <c r="A350" s="184"/>
      <c r="B350" s="8"/>
      <c r="C350" s="185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24.0" customHeight="1">
      <c r="A351" s="184"/>
      <c r="B351" s="8"/>
      <c r="C351" s="185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24.0" customHeight="1">
      <c r="A352" s="184"/>
      <c r="B352" s="8"/>
      <c r="C352" s="185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24.0" customHeight="1">
      <c r="A353" s="184"/>
      <c r="B353" s="8"/>
      <c r="C353" s="185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24.0" customHeight="1">
      <c r="A354" s="184"/>
      <c r="B354" s="8"/>
      <c r="C354" s="185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24.0" customHeight="1">
      <c r="A355" s="184"/>
      <c r="B355" s="8"/>
      <c r="C355" s="185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24.0" customHeight="1">
      <c r="A356" s="184"/>
      <c r="B356" s="8"/>
      <c r="C356" s="185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24.0" customHeight="1">
      <c r="A357" s="184"/>
      <c r="B357" s="8"/>
      <c r="C357" s="185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24.0" customHeight="1">
      <c r="A358" s="184"/>
      <c r="B358" s="8"/>
      <c r="C358" s="185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24.0" customHeight="1">
      <c r="A359" s="184"/>
      <c r="B359" s="8"/>
      <c r="C359" s="185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24.0" customHeight="1">
      <c r="A360" s="184"/>
      <c r="B360" s="8"/>
      <c r="C360" s="185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24.0" customHeight="1">
      <c r="A361" s="184"/>
      <c r="B361" s="8"/>
      <c r="C361" s="185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24.0" customHeight="1">
      <c r="A362" s="184"/>
      <c r="B362" s="8"/>
      <c r="C362" s="185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24.0" customHeight="1">
      <c r="A363" s="184"/>
      <c r="B363" s="8"/>
      <c r="C363" s="185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24.0" customHeight="1">
      <c r="A364" s="184"/>
      <c r="B364" s="8"/>
      <c r="C364" s="185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24.0" customHeight="1">
      <c r="A365" s="184"/>
      <c r="B365" s="8"/>
      <c r="C365" s="185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24.0" customHeight="1">
      <c r="A366" s="184"/>
      <c r="B366" s="8"/>
      <c r="C366" s="185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24.0" customHeight="1">
      <c r="A367" s="184"/>
      <c r="B367" s="8"/>
      <c r="C367" s="185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24.0" customHeight="1">
      <c r="A368" s="184"/>
      <c r="B368" s="8"/>
      <c r="C368" s="185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24.0" customHeight="1">
      <c r="A369" s="184"/>
      <c r="B369" s="8"/>
      <c r="C369" s="185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24.0" customHeight="1">
      <c r="A370" s="184"/>
      <c r="B370" s="8"/>
      <c r="C370" s="185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24.0" customHeight="1">
      <c r="A371" s="184"/>
      <c r="B371" s="8"/>
      <c r="C371" s="185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24.0" customHeight="1">
      <c r="A372" s="184"/>
      <c r="B372" s="8"/>
      <c r="C372" s="185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24.0" customHeight="1">
      <c r="A373" s="184"/>
      <c r="B373" s="8"/>
      <c r="C373" s="185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24.0" customHeight="1">
      <c r="A374" s="184"/>
      <c r="B374" s="8"/>
      <c r="C374" s="185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24.0" customHeight="1">
      <c r="A375" s="184"/>
      <c r="B375" s="8"/>
      <c r="C375" s="185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24.0" customHeight="1">
      <c r="A376" s="184"/>
      <c r="B376" s="8"/>
      <c r="C376" s="185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24.0" customHeight="1">
      <c r="A377" s="184"/>
      <c r="B377" s="8"/>
      <c r="C377" s="185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24.0" customHeight="1">
      <c r="A378" s="184"/>
      <c r="B378" s="8"/>
      <c r="C378" s="185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24.0" customHeight="1">
      <c r="A379" s="184"/>
      <c r="B379" s="8"/>
      <c r="C379" s="185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24.0" customHeight="1">
      <c r="A380" s="184"/>
      <c r="B380" s="8"/>
      <c r="C380" s="185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24.0" customHeight="1">
      <c r="A381" s="184"/>
      <c r="B381" s="8"/>
      <c r="C381" s="185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24.0" customHeight="1">
      <c r="A382" s="184"/>
      <c r="B382" s="8"/>
      <c r="C382" s="185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24.0" customHeight="1">
      <c r="A383" s="184"/>
      <c r="B383" s="8"/>
      <c r="C383" s="185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24.0" customHeight="1">
      <c r="A384" s="184"/>
      <c r="B384" s="8"/>
      <c r="C384" s="185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24.0" customHeight="1">
      <c r="A385" s="184"/>
      <c r="B385" s="8"/>
      <c r="C385" s="185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24.0" customHeight="1">
      <c r="A386" s="184"/>
      <c r="B386" s="8"/>
      <c r="C386" s="185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24.0" customHeight="1">
      <c r="A387" s="184"/>
      <c r="B387" s="8"/>
      <c r="C387" s="185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24.0" customHeight="1">
      <c r="A388" s="184"/>
      <c r="B388" s="8"/>
      <c r="C388" s="185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24.0" customHeight="1">
      <c r="A389" s="184"/>
      <c r="B389" s="8"/>
      <c r="C389" s="185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24.0" customHeight="1">
      <c r="A390" s="184"/>
      <c r="B390" s="8"/>
      <c r="C390" s="185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24.0" customHeight="1">
      <c r="A391" s="184"/>
      <c r="B391" s="8"/>
      <c r="C391" s="185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24.0" customHeight="1">
      <c r="A392" s="184"/>
      <c r="B392" s="8"/>
      <c r="C392" s="185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24.0" customHeight="1">
      <c r="A393" s="184"/>
      <c r="B393" s="8"/>
      <c r="C393" s="185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24.0" customHeight="1">
      <c r="A394" s="184"/>
      <c r="B394" s="8"/>
      <c r="C394" s="185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24.0" customHeight="1">
      <c r="A395" s="184"/>
      <c r="B395" s="8"/>
      <c r="C395" s="185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24.0" customHeight="1">
      <c r="A396" s="184"/>
      <c r="B396" s="8"/>
      <c r="C396" s="185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24.0" customHeight="1">
      <c r="A397" s="184"/>
      <c r="B397" s="8"/>
      <c r="C397" s="185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24.0" customHeight="1">
      <c r="A398" s="184"/>
      <c r="B398" s="8"/>
      <c r="C398" s="185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24.0" customHeight="1">
      <c r="A399" s="184"/>
      <c r="B399" s="8"/>
      <c r="C399" s="185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24.0" customHeight="1">
      <c r="A400" s="184"/>
      <c r="B400" s="8"/>
      <c r="C400" s="185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24.0" customHeight="1">
      <c r="A401" s="184"/>
      <c r="B401" s="8"/>
      <c r="C401" s="185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24.0" customHeight="1">
      <c r="A402" s="184"/>
      <c r="B402" s="8"/>
      <c r="C402" s="185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24.0" customHeight="1">
      <c r="A403" s="184"/>
      <c r="B403" s="8"/>
      <c r="C403" s="185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24.0" customHeight="1">
      <c r="A404" s="184"/>
      <c r="B404" s="8"/>
      <c r="C404" s="185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24.0" customHeight="1">
      <c r="A405" s="184"/>
      <c r="B405" s="8"/>
      <c r="C405" s="185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24.0" customHeight="1">
      <c r="A406" s="184"/>
      <c r="B406" s="8"/>
      <c r="C406" s="185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24.0" customHeight="1">
      <c r="A407" s="184"/>
      <c r="B407" s="8"/>
      <c r="C407" s="185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24.0" customHeight="1">
      <c r="A408" s="184"/>
      <c r="B408" s="8"/>
      <c r="C408" s="185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24.0" customHeight="1">
      <c r="A409" s="184"/>
      <c r="B409" s="8"/>
      <c r="C409" s="185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24.0" customHeight="1">
      <c r="A410" s="184"/>
      <c r="B410" s="8"/>
      <c r="C410" s="185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24.0" customHeight="1">
      <c r="A411" s="184"/>
      <c r="B411" s="8"/>
      <c r="C411" s="185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24.0" customHeight="1">
      <c r="A412" s="184"/>
      <c r="B412" s="8"/>
      <c r="C412" s="185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24.0" customHeight="1">
      <c r="A413" s="184"/>
      <c r="B413" s="8"/>
      <c r="C413" s="185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24.0" customHeight="1">
      <c r="A414" s="184"/>
      <c r="B414" s="8"/>
      <c r="C414" s="185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24.0" customHeight="1">
      <c r="A415" s="184"/>
      <c r="B415" s="8"/>
      <c r="C415" s="185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24.0" customHeight="1">
      <c r="A416" s="184"/>
      <c r="B416" s="8"/>
      <c r="C416" s="185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24.0" customHeight="1">
      <c r="A417" s="184"/>
      <c r="B417" s="8"/>
      <c r="C417" s="185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24.0" customHeight="1">
      <c r="A418" s="184"/>
      <c r="B418" s="8"/>
      <c r="C418" s="185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24.0" customHeight="1">
      <c r="A419" s="184"/>
      <c r="B419" s="8"/>
      <c r="C419" s="185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24.0" customHeight="1">
      <c r="A420" s="184"/>
      <c r="B420" s="8"/>
      <c r="C420" s="185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24.0" customHeight="1">
      <c r="A421" s="184"/>
      <c r="B421" s="8"/>
      <c r="C421" s="185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24.0" customHeight="1">
      <c r="A422" s="184"/>
      <c r="B422" s="8"/>
      <c r="C422" s="185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24.0" customHeight="1">
      <c r="A423" s="184"/>
      <c r="B423" s="8"/>
      <c r="C423" s="185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24.0" customHeight="1">
      <c r="A424" s="184"/>
      <c r="B424" s="8"/>
      <c r="C424" s="185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24.0" customHeight="1">
      <c r="A425" s="184"/>
      <c r="B425" s="8"/>
      <c r="C425" s="185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24.0" customHeight="1">
      <c r="A426" s="184"/>
      <c r="B426" s="8"/>
      <c r="C426" s="185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24.0" customHeight="1">
      <c r="A427" s="184"/>
      <c r="B427" s="8"/>
      <c r="C427" s="185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24.0" customHeight="1">
      <c r="A428" s="184"/>
      <c r="B428" s="8"/>
      <c r="C428" s="185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24.0" customHeight="1">
      <c r="A429" s="184"/>
      <c r="B429" s="8"/>
      <c r="C429" s="185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24.0" customHeight="1">
      <c r="A430" s="184"/>
      <c r="B430" s="8"/>
      <c r="C430" s="185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24.0" customHeight="1">
      <c r="A431" s="184"/>
      <c r="B431" s="8"/>
      <c r="C431" s="185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24.0" customHeight="1">
      <c r="A432" s="184"/>
      <c r="B432" s="8"/>
      <c r="C432" s="185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24.0" customHeight="1">
      <c r="A433" s="184"/>
      <c r="B433" s="8"/>
      <c r="C433" s="185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24.0" customHeight="1">
      <c r="A434" s="184"/>
      <c r="B434" s="8"/>
      <c r="C434" s="185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24.0" customHeight="1">
      <c r="A435" s="184"/>
      <c r="B435" s="8"/>
      <c r="C435" s="185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24.0" customHeight="1">
      <c r="A436" s="184"/>
      <c r="B436" s="8"/>
      <c r="C436" s="185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24.0" customHeight="1">
      <c r="A437" s="184"/>
      <c r="B437" s="8"/>
      <c r="C437" s="185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24.0" customHeight="1">
      <c r="A438" s="184"/>
      <c r="B438" s="8"/>
      <c r="C438" s="185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24.0" customHeight="1">
      <c r="A439" s="184"/>
      <c r="B439" s="8"/>
      <c r="C439" s="185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24.0" customHeight="1">
      <c r="A440" s="184"/>
      <c r="B440" s="8"/>
      <c r="C440" s="185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24.0" customHeight="1">
      <c r="A441" s="184"/>
      <c r="B441" s="8"/>
      <c r="C441" s="185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24.0" customHeight="1">
      <c r="A442" s="184"/>
      <c r="B442" s="8"/>
      <c r="C442" s="185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24.0" customHeight="1">
      <c r="A443" s="184"/>
      <c r="B443" s="8"/>
      <c r="C443" s="185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24.0" customHeight="1">
      <c r="A444" s="184"/>
      <c r="B444" s="8"/>
      <c r="C444" s="185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24.0" customHeight="1">
      <c r="A445" s="184"/>
      <c r="B445" s="8"/>
      <c r="C445" s="185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24.0" customHeight="1">
      <c r="A446" s="184"/>
      <c r="B446" s="8"/>
      <c r="C446" s="185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24.0" customHeight="1">
      <c r="A447" s="184"/>
      <c r="B447" s="8"/>
      <c r="C447" s="185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24.0" customHeight="1">
      <c r="A448" s="184"/>
      <c r="B448" s="8"/>
      <c r="C448" s="185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24.0" customHeight="1">
      <c r="A449" s="184"/>
      <c r="B449" s="8"/>
      <c r="C449" s="185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24.0" customHeight="1">
      <c r="A450" s="184"/>
      <c r="B450" s="8"/>
      <c r="C450" s="185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24.0" customHeight="1">
      <c r="A451" s="184"/>
      <c r="B451" s="8"/>
      <c r="C451" s="185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24.0" customHeight="1">
      <c r="A452" s="184"/>
      <c r="B452" s="8"/>
      <c r="C452" s="185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24.0" customHeight="1">
      <c r="A453" s="184"/>
      <c r="B453" s="8"/>
      <c r="C453" s="185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24.0" customHeight="1">
      <c r="A454" s="184"/>
      <c r="B454" s="8"/>
      <c r="C454" s="185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24.0" customHeight="1">
      <c r="A455" s="184"/>
      <c r="B455" s="8"/>
      <c r="C455" s="185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24.0" customHeight="1">
      <c r="A456" s="184"/>
      <c r="B456" s="8"/>
      <c r="C456" s="185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24.0" customHeight="1">
      <c r="A457" s="184"/>
      <c r="B457" s="8"/>
      <c r="C457" s="185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24.0" customHeight="1">
      <c r="A458" s="184"/>
      <c r="B458" s="8"/>
      <c r="C458" s="185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24.0" customHeight="1">
      <c r="A459" s="184"/>
      <c r="B459" s="8"/>
      <c r="C459" s="185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24.0" customHeight="1">
      <c r="A460" s="184"/>
      <c r="B460" s="8"/>
      <c r="C460" s="185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24.0" customHeight="1">
      <c r="A461" s="184"/>
      <c r="B461" s="8"/>
      <c r="C461" s="185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24.0" customHeight="1">
      <c r="A462" s="184"/>
      <c r="B462" s="8"/>
      <c r="C462" s="185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24.0" customHeight="1">
      <c r="A463" s="184"/>
      <c r="B463" s="8"/>
      <c r="C463" s="185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24.0" customHeight="1">
      <c r="A464" s="184"/>
      <c r="B464" s="8"/>
      <c r="C464" s="185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24.0" customHeight="1">
      <c r="A465" s="184"/>
      <c r="B465" s="8"/>
      <c r="C465" s="185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24.0" customHeight="1">
      <c r="A466" s="184"/>
      <c r="B466" s="8"/>
      <c r="C466" s="185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24.0" customHeight="1">
      <c r="A467" s="184"/>
      <c r="B467" s="8"/>
      <c r="C467" s="185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24.0" customHeight="1">
      <c r="A468" s="184"/>
      <c r="B468" s="8"/>
      <c r="C468" s="185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24.0" customHeight="1">
      <c r="A469" s="184"/>
      <c r="B469" s="8"/>
      <c r="C469" s="185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24.0" customHeight="1">
      <c r="A470" s="184"/>
      <c r="B470" s="8"/>
      <c r="C470" s="185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24.0" customHeight="1">
      <c r="A471" s="184"/>
      <c r="B471" s="8"/>
      <c r="C471" s="185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24.0" customHeight="1">
      <c r="A472" s="184"/>
      <c r="B472" s="8"/>
      <c r="C472" s="185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24.0" customHeight="1">
      <c r="A473" s="184"/>
      <c r="B473" s="8"/>
      <c r="C473" s="185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24.0" customHeight="1">
      <c r="A474" s="184"/>
      <c r="B474" s="8"/>
      <c r="C474" s="185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24.0" customHeight="1">
      <c r="A475" s="184"/>
      <c r="B475" s="8"/>
      <c r="C475" s="185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24.0" customHeight="1">
      <c r="A476" s="184"/>
      <c r="B476" s="8"/>
      <c r="C476" s="185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24.0" customHeight="1">
      <c r="A477" s="184"/>
      <c r="B477" s="8"/>
      <c r="C477" s="185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24.0" customHeight="1">
      <c r="A478" s="184"/>
      <c r="B478" s="8"/>
      <c r="C478" s="185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24.0" customHeight="1">
      <c r="A479" s="184"/>
      <c r="B479" s="8"/>
      <c r="C479" s="185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24.0" customHeight="1">
      <c r="A480" s="184"/>
      <c r="B480" s="8"/>
      <c r="C480" s="185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24.0" customHeight="1">
      <c r="A481" s="184"/>
      <c r="B481" s="8"/>
      <c r="C481" s="185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24.0" customHeight="1">
      <c r="A482" s="184"/>
      <c r="B482" s="8"/>
      <c r="C482" s="185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24.0" customHeight="1">
      <c r="A483" s="184"/>
      <c r="B483" s="8"/>
      <c r="C483" s="185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24.0" customHeight="1">
      <c r="A484" s="184"/>
      <c r="B484" s="8"/>
      <c r="C484" s="185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24.0" customHeight="1">
      <c r="A485" s="184"/>
      <c r="B485" s="8"/>
      <c r="C485" s="185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24.0" customHeight="1">
      <c r="A486" s="184"/>
      <c r="B486" s="8"/>
      <c r="C486" s="185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24.0" customHeight="1">
      <c r="A487" s="184"/>
      <c r="B487" s="8"/>
      <c r="C487" s="185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24.0" customHeight="1">
      <c r="A488" s="184"/>
      <c r="B488" s="8"/>
      <c r="C488" s="185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24.0" customHeight="1">
      <c r="A489" s="184"/>
      <c r="B489" s="8"/>
      <c r="C489" s="185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24.0" customHeight="1">
      <c r="A490" s="184"/>
      <c r="B490" s="8"/>
      <c r="C490" s="185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24.0" customHeight="1">
      <c r="A491" s="184"/>
      <c r="B491" s="8"/>
      <c r="C491" s="185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24.0" customHeight="1">
      <c r="A492" s="184"/>
      <c r="B492" s="8"/>
      <c r="C492" s="185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24.0" customHeight="1">
      <c r="A493" s="184"/>
      <c r="B493" s="8"/>
      <c r="C493" s="185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24.0" customHeight="1">
      <c r="A494" s="184"/>
      <c r="B494" s="8"/>
      <c r="C494" s="185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24.0" customHeight="1">
      <c r="A495" s="184"/>
      <c r="B495" s="8"/>
      <c r="C495" s="185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24.0" customHeight="1">
      <c r="A496" s="184"/>
      <c r="B496" s="8"/>
      <c r="C496" s="185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24.0" customHeight="1">
      <c r="A497" s="184"/>
      <c r="B497" s="8"/>
      <c r="C497" s="185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24.0" customHeight="1">
      <c r="A498" s="184"/>
      <c r="B498" s="8"/>
      <c r="C498" s="185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24.0" customHeight="1">
      <c r="A499" s="184"/>
      <c r="B499" s="8"/>
      <c r="C499" s="185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24.0" customHeight="1">
      <c r="A500" s="184"/>
      <c r="B500" s="8"/>
      <c r="C500" s="185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24.0" customHeight="1">
      <c r="A501" s="184"/>
      <c r="B501" s="8"/>
      <c r="C501" s="185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24.0" customHeight="1">
      <c r="A502" s="184"/>
      <c r="B502" s="8"/>
      <c r="C502" s="185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24.0" customHeight="1">
      <c r="A503" s="184"/>
      <c r="B503" s="8"/>
      <c r="C503" s="185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24.0" customHeight="1">
      <c r="A504" s="184"/>
      <c r="B504" s="8"/>
      <c r="C504" s="185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24.0" customHeight="1">
      <c r="A505" s="184"/>
      <c r="B505" s="8"/>
      <c r="C505" s="185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24.0" customHeight="1">
      <c r="A506" s="184"/>
      <c r="B506" s="8"/>
      <c r="C506" s="185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24.0" customHeight="1">
      <c r="A507" s="184"/>
      <c r="B507" s="8"/>
      <c r="C507" s="185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24.0" customHeight="1">
      <c r="A508" s="184"/>
      <c r="B508" s="8"/>
      <c r="C508" s="185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24.0" customHeight="1">
      <c r="A509" s="184"/>
      <c r="B509" s="8"/>
      <c r="C509" s="185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24.0" customHeight="1">
      <c r="A510" s="184"/>
      <c r="B510" s="8"/>
      <c r="C510" s="185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24.0" customHeight="1">
      <c r="A511" s="184"/>
      <c r="B511" s="8"/>
      <c r="C511" s="185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24.0" customHeight="1">
      <c r="A512" s="184"/>
      <c r="B512" s="8"/>
      <c r="C512" s="185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24.0" customHeight="1">
      <c r="A513" s="184"/>
      <c r="B513" s="8"/>
      <c r="C513" s="185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24.0" customHeight="1">
      <c r="A514" s="184"/>
      <c r="B514" s="8"/>
      <c r="C514" s="185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24.0" customHeight="1">
      <c r="A515" s="184"/>
      <c r="B515" s="8"/>
      <c r="C515" s="185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24.0" customHeight="1">
      <c r="A516" s="184"/>
      <c r="B516" s="8"/>
      <c r="C516" s="185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24.0" customHeight="1">
      <c r="A517" s="184"/>
      <c r="B517" s="8"/>
      <c r="C517" s="185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24.0" customHeight="1">
      <c r="A518" s="184"/>
      <c r="B518" s="8"/>
      <c r="C518" s="185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24.0" customHeight="1">
      <c r="A519" s="184"/>
      <c r="B519" s="8"/>
      <c r="C519" s="185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24.0" customHeight="1">
      <c r="A520" s="184"/>
      <c r="B520" s="8"/>
      <c r="C520" s="185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24.0" customHeight="1">
      <c r="A521" s="184"/>
      <c r="B521" s="8"/>
      <c r="C521" s="185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24.0" customHeight="1">
      <c r="A522" s="184"/>
      <c r="B522" s="8"/>
      <c r="C522" s="185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24.0" customHeight="1">
      <c r="A523" s="184"/>
      <c r="B523" s="8"/>
      <c r="C523" s="185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24.0" customHeight="1">
      <c r="A524" s="184"/>
      <c r="B524" s="8"/>
      <c r="C524" s="185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24.0" customHeight="1">
      <c r="A525" s="184"/>
      <c r="B525" s="8"/>
      <c r="C525" s="185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24.0" customHeight="1">
      <c r="A526" s="184"/>
      <c r="B526" s="8"/>
      <c r="C526" s="185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24.0" customHeight="1">
      <c r="A527" s="184"/>
      <c r="B527" s="8"/>
      <c r="C527" s="185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24.0" customHeight="1">
      <c r="A528" s="184"/>
      <c r="B528" s="8"/>
      <c r="C528" s="185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24.0" customHeight="1">
      <c r="A529" s="184"/>
      <c r="B529" s="8"/>
      <c r="C529" s="185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24.0" customHeight="1">
      <c r="A530" s="184"/>
      <c r="B530" s="8"/>
      <c r="C530" s="185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24.0" customHeight="1">
      <c r="A531" s="184"/>
      <c r="B531" s="8"/>
      <c r="C531" s="185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24.0" customHeight="1">
      <c r="A532" s="184"/>
      <c r="B532" s="8"/>
      <c r="C532" s="185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24.0" customHeight="1">
      <c r="A533" s="184"/>
      <c r="B533" s="8"/>
      <c r="C533" s="185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24.0" customHeight="1">
      <c r="A534" s="184"/>
      <c r="B534" s="8"/>
      <c r="C534" s="185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24.0" customHeight="1">
      <c r="A535" s="184"/>
      <c r="B535" s="8"/>
      <c r="C535" s="185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24.0" customHeight="1">
      <c r="A536" s="184"/>
      <c r="B536" s="8"/>
      <c r="C536" s="185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24.0" customHeight="1">
      <c r="A537" s="184"/>
      <c r="B537" s="8"/>
      <c r="C537" s="185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24.0" customHeight="1">
      <c r="A538" s="184"/>
      <c r="B538" s="8"/>
      <c r="C538" s="185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24.0" customHeight="1">
      <c r="A539" s="184"/>
      <c r="B539" s="8"/>
      <c r="C539" s="185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24.0" customHeight="1">
      <c r="A540" s="184"/>
      <c r="B540" s="8"/>
      <c r="C540" s="185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24.0" customHeight="1">
      <c r="A541" s="184"/>
      <c r="B541" s="8"/>
      <c r="C541" s="185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24.0" customHeight="1">
      <c r="A542" s="184"/>
      <c r="B542" s="8"/>
      <c r="C542" s="185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24.0" customHeight="1">
      <c r="A543" s="184"/>
      <c r="B543" s="8"/>
      <c r="C543" s="185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24.0" customHeight="1">
      <c r="A544" s="184"/>
      <c r="B544" s="8"/>
      <c r="C544" s="185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24.0" customHeight="1">
      <c r="A545" s="184"/>
      <c r="B545" s="8"/>
      <c r="C545" s="185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24.0" customHeight="1">
      <c r="A546" s="184"/>
      <c r="B546" s="8"/>
      <c r="C546" s="185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24.0" customHeight="1">
      <c r="A547" s="184"/>
      <c r="B547" s="8"/>
      <c r="C547" s="185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24.0" customHeight="1">
      <c r="A548" s="184"/>
      <c r="B548" s="8"/>
      <c r="C548" s="185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24.0" customHeight="1">
      <c r="A549" s="184"/>
      <c r="B549" s="8"/>
      <c r="C549" s="185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24.0" customHeight="1">
      <c r="A550" s="184"/>
      <c r="B550" s="8"/>
      <c r="C550" s="185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24.0" customHeight="1">
      <c r="A551" s="184"/>
      <c r="B551" s="8"/>
      <c r="C551" s="185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24.0" customHeight="1">
      <c r="A552" s="184"/>
      <c r="B552" s="8"/>
      <c r="C552" s="185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24.0" customHeight="1">
      <c r="A553" s="184"/>
      <c r="B553" s="8"/>
      <c r="C553" s="185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24.0" customHeight="1">
      <c r="A554" s="184"/>
      <c r="B554" s="8"/>
      <c r="C554" s="185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24.0" customHeight="1">
      <c r="A555" s="184"/>
      <c r="B555" s="8"/>
      <c r="C555" s="185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24.0" customHeight="1">
      <c r="A556" s="184"/>
      <c r="B556" s="8"/>
      <c r="C556" s="185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24.0" customHeight="1">
      <c r="A557" s="184"/>
      <c r="B557" s="8"/>
      <c r="C557" s="185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24.0" customHeight="1">
      <c r="A558" s="184"/>
      <c r="B558" s="8"/>
      <c r="C558" s="185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24.0" customHeight="1">
      <c r="A559" s="184"/>
      <c r="B559" s="8"/>
      <c r="C559" s="185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24.0" customHeight="1">
      <c r="A560" s="184"/>
      <c r="B560" s="8"/>
      <c r="C560" s="185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24.0" customHeight="1">
      <c r="A561" s="184"/>
      <c r="B561" s="8"/>
      <c r="C561" s="185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24.0" customHeight="1">
      <c r="A562" s="184"/>
      <c r="B562" s="8"/>
      <c r="C562" s="185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24.0" customHeight="1">
      <c r="A563" s="184"/>
      <c r="B563" s="8"/>
      <c r="C563" s="185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24.0" customHeight="1">
      <c r="A564" s="184"/>
      <c r="B564" s="8"/>
      <c r="C564" s="185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24.0" customHeight="1">
      <c r="A565" s="184"/>
      <c r="B565" s="8"/>
      <c r="C565" s="185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24.0" customHeight="1">
      <c r="A566" s="184"/>
      <c r="B566" s="8"/>
      <c r="C566" s="185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24.0" customHeight="1">
      <c r="A567" s="184"/>
      <c r="B567" s="8"/>
      <c r="C567" s="185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24.0" customHeight="1">
      <c r="A568" s="184"/>
      <c r="B568" s="8"/>
      <c r="C568" s="185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24.0" customHeight="1">
      <c r="A569" s="184"/>
      <c r="B569" s="8"/>
      <c r="C569" s="185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24.0" customHeight="1">
      <c r="A570" s="184"/>
      <c r="B570" s="8"/>
      <c r="C570" s="185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24.0" customHeight="1">
      <c r="A571" s="184"/>
      <c r="B571" s="8"/>
      <c r="C571" s="185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24.0" customHeight="1">
      <c r="A572" s="184"/>
      <c r="B572" s="8"/>
      <c r="C572" s="185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24.0" customHeight="1">
      <c r="A573" s="184"/>
      <c r="B573" s="8"/>
      <c r="C573" s="185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24.0" customHeight="1">
      <c r="A574" s="184"/>
      <c r="B574" s="8"/>
      <c r="C574" s="185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24.0" customHeight="1">
      <c r="A575" s="184"/>
      <c r="B575" s="8"/>
      <c r="C575" s="185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24.0" customHeight="1">
      <c r="A576" s="184"/>
      <c r="B576" s="8"/>
      <c r="C576" s="185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24.0" customHeight="1">
      <c r="A577" s="184"/>
      <c r="B577" s="8"/>
      <c r="C577" s="185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24.0" customHeight="1">
      <c r="A578" s="184"/>
      <c r="B578" s="8"/>
      <c r="C578" s="185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24.0" customHeight="1">
      <c r="A579" s="184"/>
      <c r="B579" s="8"/>
      <c r="C579" s="185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24.0" customHeight="1">
      <c r="A580" s="184"/>
      <c r="B580" s="8"/>
      <c r="C580" s="185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24.0" customHeight="1">
      <c r="A581" s="184"/>
      <c r="B581" s="8"/>
      <c r="C581" s="185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24.0" customHeight="1">
      <c r="A582" s="184"/>
      <c r="B582" s="8"/>
      <c r="C582" s="185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24.0" customHeight="1">
      <c r="A583" s="184"/>
      <c r="B583" s="8"/>
      <c r="C583" s="185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24.0" customHeight="1">
      <c r="A584" s="184"/>
      <c r="B584" s="8"/>
      <c r="C584" s="185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24.0" customHeight="1">
      <c r="A585" s="184"/>
      <c r="B585" s="8"/>
      <c r="C585" s="185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24.0" customHeight="1">
      <c r="A586" s="184"/>
      <c r="B586" s="8"/>
      <c r="C586" s="185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24.0" customHeight="1">
      <c r="A587" s="184"/>
      <c r="B587" s="8"/>
      <c r="C587" s="185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24.0" customHeight="1">
      <c r="A588" s="184"/>
      <c r="B588" s="8"/>
      <c r="C588" s="185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24.0" customHeight="1">
      <c r="A589" s="184"/>
      <c r="B589" s="8"/>
      <c r="C589" s="185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24.0" customHeight="1">
      <c r="A590" s="184"/>
      <c r="B590" s="8"/>
      <c r="C590" s="185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24.0" customHeight="1">
      <c r="A591" s="184"/>
      <c r="B591" s="8"/>
      <c r="C591" s="185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24.0" customHeight="1">
      <c r="A592" s="184"/>
      <c r="B592" s="8"/>
      <c r="C592" s="185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24.0" customHeight="1">
      <c r="A593" s="184"/>
      <c r="B593" s="8"/>
      <c r="C593" s="185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24.0" customHeight="1">
      <c r="A594" s="184"/>
      <c r="B594" s="8"/>
      <c r="C594" s="185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24.0" customHeight="1">
      <c r="A595" s="184"/>
      <c r="B595" s="8"/>
      <c r="C595" s="185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24.0" customHeight="1">
      <c r="A596" s="184"/>
      <c r="B596" s="8"/>
      <c r="C596" s="185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24.0" customHeight="1">
      <c r="A597" s="184"/>
      <c r="B597" s="8"/>
      <c r="C597" s="185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24.0" customHeight="1">
      <c r="A598" s="184"/>
      <c r="B598" s="8"/>
      <c r="C598" s="185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24.0" customHeight="1">
      <c r="A599" s="184"/>
      <c r="B599" s="8"/>
      <c r="C599" s="185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24.0" customHeight="1">
      <c r="A600" s="184"/>
      <c r="B600" s="8"/>
      <c r="C600" s="185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24.0" customHeight="1">
      <c r="A601" s="184"/>
      <c r="B601" s="8"/>
      <c r="C601" s="185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24.0" customHeight="1">
      <c r="A602" s="184"/>
      <c r="B602" s="8"/>
      <c r="C602" s="185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24.0" customHeight="1">
      <c r="A603" s="184"/>
      <c r="B603" s="8"/>
      <c r="C603" s="185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24.0" customHeight="1">
      <c r="A604" s="184"/>
      <c r="B604" s="8"/>
      <c r="C604" s="185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24.0" customHeight="1">
      <c r="A605" s="184"/>
      <c r="B605" s="8"/>
      <c r="C605" s="185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24.0" customHeight="1">
      <c r="A606" s="184"/>
      <c r="B606" s="8"/>
      <c r="C606" s="185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24.0" customHeight="1">
      <c r="A607" s="184"/>
      <c r="B607" s="8"/>
      <c r="C607" s="185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24.0" customHeight="1">
      <c r="A608" s="184"/>
      <c r="B608" s="8"/>
      <c r="C608" s="185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24.0" customHeight="1">
      <c r="A609" s="184"/>
      <c r="B609" s="8"/>
      <c r="C609" s="185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24.0" customHeight="1">
      <c r="A610" s="184"/>
      <c r="B610" s="8"/>
      <c r="C610" s="185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24.0" customHeight="1">
      <c r="A611" s="184"/>
      <c r="B611" s="8"/>
      <c r="C611" s="185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24.0" customHeight="1">
      <c r="A612" s="184"/>
      <c r="B612" s="8"/>
      <c r="C612" s="185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24.0" customHeight="1">
      <c r="A613" s="184"/>
      <c r="B613" s="8"/>
      <c r="C613" s="185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24.0" customHeight="1">
      <c r="A614" s="184"/>
      <c r="B614" s="8"/>
      <c r="C614" s="185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24.0" customHeight="1">
      <c r="A615" s="184"/>
      <c r="B615" s="8"/>
      <c r="C615" s="185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24.0" customHeight="1">
      <c r="A616" s="184"/>
      <c r="B616" s="8"/>
      <c r="C616" s="185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24.0" customHeight="1">
      <c r="A617" s="184"/>
      <c r="B617" s="8"/>
      <c r="C617" s="185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24.0" customHeight="1">
      <c r="A618" s="184"/>
      <c r="B618" s="8"/>
      <c r="C618" s="185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24.0" customHeight="1">
      <c r="A619" s="184"/>
      <c r="B619" s="8"/>
      <c r="C619" s="185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24.0" customHeight="1">
      <c r="A620" s="184"/>
      <c r="B620" s="8"/>
      <c r="C620" s="185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24.0" customHeight="1">
      <c r="A621" s="184"/>
      <c r="B621" s="8"/>
      <c r="C621" s="185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24.0" customHeight="1">
      <c r="A622" s="184"/>
      <c r="B622" s="8"/>
      <c r="C622" s="185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24.0" customHeight="1">
      <c r="A623" s="184"/>
      <c r="B623" s="8"/>
      <c r="C623" s="185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24.0" customHeight="1">
      <c r="A624" s="184"/>
      <c r="B624" s="8"/>
      <c r="C624" s="185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24.0" customHeight="1">
      <c r="A625" s="184"/>
      <c r="B625" s="8"/>
      <c r="C625" s="185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24.0" customHeight="1">
      <c r="A626" s="184"/>
      <c r="B626" s="8"/>
      <c r="C626" s="185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24.0" customHeight="1">
      <c r="A627" s="184"/>
      <c r="B627" s="8"/>
      <c r="C627" s="185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24.0" customHeight="1">
      <c r="A628" s="184"/>
      <c r="B628" s="8"/>
      <c r="C628" s="185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24.0" customHeight="1">
      <c r="A629" s="184"/>
      <c r="B629" s="8"/>
      <c r="C629" s="185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24.0" customHeight="1">
      <c r="A630" s="184"/>
      <c r="B630" s="8"/>
      <c r="C630" s="185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24.0" customHeight="1">
      <c r="A631" s="184"/>
      <c r="B631" s="8"/>
      <c r="C631" s="185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24.0" customHeight="1">
      <c r="A632" s="184"/>
      <c r="B632" s="8"/>
      <c r="C632" s="185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24.0" customHeight="1">
      <c r="A633" s="184"/>
      <c r="B633" s="8"/>
      <c r="C633" s="185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24.0" customHeight="1">
      <c r="A634" s="184"/>
      <c r="B634" s="8"/>
      <c r="C634" s="185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24.0" customHeight="1">
      <c r="A635" s="184"/>
      <c r="B635" s="8"/>
      <c r="C635" s="185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24.0" customHeight="1">
      <c r="A636" s="184"/>
      <c r="B636" s="8"/>
      <c r="C636" s="185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24.0" customHeight="1">
      <c r="A637" s="184"/>
      <c r="B637" s="8"/>
      <c r="C637" s="185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24.0" customHeight="1">
      <c r="A638" s="184"/>
      <c r="B638" s="8"/>
      <c r="C638" s="185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24.0" customHeight="1">
      <c r="A639" s="184"/>
      <c r="B639" s="8"/>
      <c r="C639" s="185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24.0" customHeight="1">
      <c r="A640" s="184"/>
      <c r="B640" s="8"/>
      <c r="C640" s="185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24.0" customHeight="1">
      <c r="A641" s="184"/>
      <c r="B641" s="8"/>
      <c r="C641" s="185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24.0" customHeight="1">
      <c r="A642" s="184"/>
      <c r="B642" s="8"/>
      <c r="C642" s="185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24.0" customHeight="1">
      <c r="A643" s="184"/>
      <c r="B643" s="8"/>
      <c r="C643" s="185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24.0" customHeight="1">
      <c r="A644" s="184"/>
      <c r="B644" s="8"/>
      <c r="C644" s="185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24.0" customHeight="1">
      <c r="A645" s="184"/>
      <c r="B645" s="8"/>
      <c r="C645" s="185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24.0" customHeight="1">
      <c r="A646" s="184"/>
      <c r="B646" s="8"/>
      <c r="C646" s="185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24.0" customHeight="1">
      <c r="A647" s="184"/>
      <c r="B647" s="8"/>
      <c r="C647" s="185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24.0" customHeight="1">
      <c r="A648" s="184"/>
      <c r="B648" s="8"/>
      <c r="C648" s="185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24.0" customHeight="1">
      <c r="A649" s="184"/>
      <c r="B649" s="8"/>
      <c r="C649" s="185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24.0" customHeight="1">
      <c r="A650" s="184"/>
      <c r="B650" s="8"/>
      <c r="C650" s="185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24.0" customHeight="1">
      <c r="A651" s="184"/>
      <c r="B651" s="8"/>
      <c r="C651" s="185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24.0" customHeight="1">
      <c r="A652" s="184"/>
      <c r="B652" s="8"/>
      <c r="C652" s="185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24.0" customHeight="1">
      <c r="A653" s="184"/>
      <c r="B653" s="8"/>
      <c r="C653" s="185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24.0" customHeight="1">
      <c r="A654" s="184"/>
      <c r="B654" s="8"/>
      <c r="C654" s="185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24.0" customHeight="1">
      <c r="A655" s="184"/>
      <c r="B655" s="8"/>
      <c r="C655" s="185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24.0" customHeight="1">
      <c r="A656" s="184"/>
      <c r="B656" s="8"/>
      <c r="C656" s="185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24.0" customHeight="1">
      <c r="A657" s="184"/>
      <c r="B657" s="8"/>
      <c r="C657" s="185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24.0" customHeight="1">
      <c r="A658" s="184"/>
      <c r="B658" s="8"/>
      <c r="C658" s="185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24.0" customHeight="1">
      <c r="A659" s="184"/>
      <c r="B659" s="8"/>
      <c r="C659" s="185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24.0" customHeight="1">
      <c r="A660" s="184"/>
      <c r="B660" s="8"/>
      <c r="C660" s="185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24.0" customHeight="1">
      <c r="A661" s="184"/>
      <c r="B661" s="8"/>
      <c r="C661" s="185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24.0" customHeight="1">
      <c r="A662" s="184"/>
      <c r="B662" s="8"/>
      <c r="C662" s="185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24.0" customHeight="1">
      <c r="A663" s="184"/>
      <c r="B663" s="8"/>
      <c r="C663" s="185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24.0" customHeight="1">
      <c r="A664" s="184"/>
      <c r="B664" s="8"/>
      <c r="C664" s="185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24.0" customHeight="1">
      <c r="A665" s="184"/>
      <c r="B665" s="8"/>
      <c r="C665" s="185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24.0" customHeight="1">
      <c r="A666" s="184"/>
      <c r="B666" s="8"/>
      <c r="C666" s="185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24.0" customHeight="1">
      <c r="A667" s="184"/>
      <c r="B667" s="8"/>
      <c r="C667" s="185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24.0" customHeight="1">
      <c r="A668" s="184"/>
      <c r="B668" s="8"/>
      <c r="C668" s="185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24.0" customHeight="1">
      <c r="A669" s="184"/>
      <c r="B669" s="8"/>
      <c r="C669" s="185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24.0" customHeight="1">
      <c r="A670" s="184"/>
      <c r="B670" s="8"/>
      <c r="C670" s="185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24.0" customHeight="1">
      <c r="A671" s="184"/>
      <c r="B671" s="8"/>
      <c r="C671" s="185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24.0" customHeight="1">
      <c r="A672" s="184"/>
      <c r="B672" s="8"/>
      <c r="C672" s="185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24.0" customHeight="1">
      <c r="A673" s="184"/>
      <c r="B673" s="8"/>
      <c r="C673" s="185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24.0" customHeight="1">
      <c r="A674" s="184"/>
      <c r="B674" s="8"/>
      <c r="C674" s="185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24.0" customHeight="1">
      <c r="A675" s="184"/>
      <c r="B675" s="8"/>
      <c r="C675" s="185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24.0" customHeight="1">
      <c r="A676" s="184"/>
      <c r="B676" s="8"/>
      <c r="C676" s="185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24.0" customHeight="1">
      <c r="A677" s="184"/>
      <c r="B677" s="8"/>
      <c r="C677" s="185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24.0" customHeight="1">
      <c r="A678" s="184"/>
      <c r="B678" s="8"/>
      <c r="C678" s="185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24.0" customHeight="1">
      <c r="A679" s="184"/>
      <c r="B679" s="8"/>
      <c r="C679" s="185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24.0" customHeight="1">
      <c r="A680" s="184"/>
      <c r="B680" s="8"/>
      <c r="C680" s="185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24.0" customHeight="1">
      <c r="A681" s="184"/>
      <c r="B681" s="8"/>
      <c r="C681" s="185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24.0" customHeight="1">
      <c r="A682" s="184"/>
      <c r="B682" s="8"/>
      <c r="C682" s="185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24.0" customHeight="1">
      <c r="A683" s="184"/>
      <c r="B683" s="8"/>
      <c r="C683" s="185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24.0" customHeight="1">
      <c r="A684" s="184"/>
      <c r="B684" s="8"/>
      <c r="C684" s="185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24.0" customHeight="1">
      <c r="A685" s="184"/>
      <c r="B685" s="8"/>
      <c r="C685" s="185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24.0" customHeight="1">
      <c r="A686" s="184"/>
      <c r="B686" s="8"/>
      <c r="C686" s="185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24.0" customHeight="1">
      <c r="A687" s="184"/>
      <c r="B687" s="8"/>
      <c r="C687" s="185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24.0" customHeight="1">
      <c r="A688" s="184"/>
      <c r="B688" s="8"/>
      <c r="C688" s="185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24.0" customHeight="1">
      <c r="A689" s="184"/>
      <c r="B689" s="8"/>
      <c r="C689" s="185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24.0" customHeight="1">
      <c r="A690" s="184"/>
      <c r="B690" s="8"/>
      <c r="C690" s="185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24.0" customHeight="1">
      <c r="A691" s="184"/>
      <c r="B691" s="8"/>
      <c r="C691" s="185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24.0" customHeight="1">
      <c r="A692" s="184"/>
      <c r="B692" s="8"/>
      <c r="C692" s="185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24.0" customHeight="1">
      <c r="A693" s="184"/>
      <c r="B693" s="8"/>
      <c r="C693" s="185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24.0" customHeight="1">
      <c r="A694" s="184"/>
      <c r="B694" s="8"/>
      <c r="C694" s="185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24.0" customHeight="1">
      <c r="A695" s="184"/>
      <c r="B695" s="8"/>
      <c r="C695" s="185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24.0" customHeight="1">
      <c r="A696" s="184"/>
      <c r="B696" s="8"/>
      <c r="C696" s="185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24.0" customHeight="1">
      <c r="A697" s="184"/>
      <c r="B697" s="8"/>
      <c r="C697" s="185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24.0" customHeight="1">
      <c r="A698" s="184"/>
      <c r="B698" s="8"/>
      <c r="C698" s="185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24.0" customHeight="1">
      <c r="A699" s="184"/>
      <c r="B699" s="8"/>
      <c r="C699" s="185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24.0" customHeight="1">
      <c r="A700" s="184"/>
      <c r="B700" s="8"/>
      <c r="C700" s="185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24.0" customHeight="1">
      <c r="A701" s="184"/>
      <c r="B701" s="8"/>
      <c r="C701" s="185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24.0" customHeight="1">
      <c r="A702" s="184"/>
      <c r="B702" s="8"/>
      <c r="C702" s="185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24.0" customHeight="1">
      <c r="A703" s="184"/>
      <c r="B703" s="8"/>
      <c r="C703" s="185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24.0" customHeight="1">
      <c r="A704" s="184"/>
      <c r="B704" s="8"/>
      <c r="C704" s="185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24.0" customHeight="1">
      <c r="A705" s="184"/>
      <c r="B705" s="8"/>
      <c r="C705" s="185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24.0" customHeight="1">
      <c r="A706" s="184"/>
      <c r="B706" s="8"/>
      <c r="C706" s="185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24.0" customHeight="1">
      <c r="A707" s="184"/>
      <c r="B707" s="8"/>
      <c r="C707" s="185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24.0" customHeight="1">
      <c r="A708" s="184"/>
      <c r="B708" s="8"/>
      <c r="C708" s="185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24.0" customHeight="1">
      <c r="A709" s="184"/>
      <c r="B709" s="8"/>
      <c r="C709" s="185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24.0" customHeight="1">
      <c r="A710" s="184"/>
      <c r="B710" s="8"/>
      <c r="C710" s="185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24.0" customHeight="1">
      <c r="A711" s="184"/>
      <c r="B711" s="8"/>
      <c r="C711" s="185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24.0" customHeight="1">
      <c r="A712" s="184"/>
      <c r="B712" s="8"/>
      <c r="C712" s="185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24.0" customHeight="1">
      <c r="A713" s="184"/>
      <c r="B713" s="8"/>
      <c r="C713" s="185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24.0" customHeight="1">
      <c r="A714" s="184"/>
      <c r="B714" s="8"/>
      <c r="C714" s="185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24.0" customHeight="1">
      <c r="A715" s="184"/>
      <c r="B715" s="8"/>
      <c r="C715" s="185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24.0" customHeight="1">
      <c r="A716" s="184"/>
      <c r="B716" s="8"/>
      <c r="C716" s="185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24.0" customHeight="1">
      <c r="A717" s="184"/>
      <c r="B717" s="8"/>
      <c r="C717" s="185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24.0" customHeight="1">
      <c r="A718" s="184"/>
      <c r="B718" s="8"/>
      <c r="C718" s="185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24.0" customHeight="1">
      <c r="A719" s="184"/>
      <c r="B719" s="8"/>
      <c r="C719" s="185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24.0" customHeight="1">
      <c r="A720" s="184"/>
      <c r="B720" s="8"/>
      <c r="C720" s="185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24.0" customHeight="1">
      <c r="A721" s="184"/>
      <c r="B721" s="8"/>
      <c r="C721" s="185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24.0" customHeight="1">
      <c r="A722" s="184"/>
      <c r="B722" s="8"/>
      <c r="C722" s="185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24.0" customHeight="1">
      <c r="A723" s="184"/>
      <c r="B723" s="8"/>
      <c r="C723" s="185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24.0" customHeight="1">
      <c r="A724" s="184"/>
      <c r="B724" s="8"/>
      <c r="C724" s="185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24.0" customHeight="1">
      <c r="A725" s="184"/>
      <c r="B725" s="8"/>
      <c r="C725" s="185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24.0" customHeight="1">
      <c r="A726" s="184"/>
      <c r="B726" s="8"/>
      <c r="C726" s="185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24.0" customHeight="1">
      <c r="A727" s="184"/>
      <c r="B727" s="8"/>
      <c r="C727" s="185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24.0" customHeight="1">
      <c r="A728" s="184"/>
      <c r="B728" s="8"/>
      <c r="C728" s="185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24.0" customHeight="1">
      <c r="A729" s="184"/>
      <c r="B729" s="8"/>
      <c r="C729" s="185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24.0" customHeight="1">
      <c r="A730" s="184"/>
      <c r="B730" s="8"/>
      <c r="C730" s="185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24.0" customHeight="1">
      <c r="A731" s="184"/>
      <c r="B731" s="8"/>
      <c r="C731" s="185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24.0" customHeight="1">
      <c r="A732" s="184"/>
      <c r="B732" s="8"/>
      <c r="C732" s="185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24.0" customHeight="1">
      <c r="A733" s="184"/>
      <c r="B733" s="8"/>
      <c r="C733" s="185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24.0" customHeight="1">
      <c r="A734" s="184"/>
      <c r="B734" s="8"/>
      <c r="C734" s="185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24.0" customHeight="1">
      <c r="A735" s="184"/>
      <c r="B735" s="8"/>
      <c r="C735" s="185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24.0" customHeight="1">
      <c r="A736" s="184"/>
      <c r="B736" s="8"/>
      <c r="C736" s="185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24.0" customHeight="1">
      <c r="A737" s="184"/>
      <c r="B737" s="8"/>
      <c r="C737" s="185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24.0" customHeight="1">
      <c r="A738" s="184"/>
      <c r="B738" s="8"/>
      <c r="C738" s="185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24.0" customHeight="1">
      <c r="A739" s="184"/>
      <c r="B739" s="8"/>
      <c r="C739" s="185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24.0" customHeight="1">
      <c r="A740" s="184"/>
      <c r="B740" s="8"/>
      <c r="C740" s="185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24.0" customHeight="1">
      <c r="A741" s="184"/>
      <c r="B741" s="8"/>
      <c r="C741" s="185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24.0" customHeight="1">
      <c r="A742" s="184"/>
      <c r="B742" s="8"/>
      <c r="C742" s="185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24.0" customHeight="1">
      <c r="A743" s="184"/>
      <c r="B743" s="8"/>
      <c r="C743" s="185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24.0" customHeight="1">
      <c r="A744" s="184"/>
      <c r="B744" s="8"/>
      <c r="C744" s="185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24.0" customHeight="1">
      <c r="A745" s="184"/>
      <c r="B745" s="8"/>
      <c r="C745" s="185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24.0" customHeight="1">
      <c r="A746" s="184"/>
      <c r="B746" s="8"/>
      <c r="C746" s="185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24.0" customHeight="1">
      <c r="A747" s="184"/>
      <c r="B747" s="8"/>
      <c r="C747" s="185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24.0" customHeight="1">
      <c r="A748" s="184"/>
      <c r="B748" s="8"/>
      <c r="C748" s="185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24.0" customHeight="1">
      <c r="A749" s="184"/>
      <c r="B749" s="8"/>
      <c r="C749" s="185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24.0" customHeight="1">
      <c r="A750" s="184"/>
      <c r="B750" s="8"/>
      <c r="C750" s="185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24.0" customHeight="1">
      <c r="A751" s="184"/>
      <c r="B751" s="8"/>
      <c r="C751" s="185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24.0" customHeight="1">
      <c r="A752" s="184"/>
      <c r="B752" s="8"/>
      <c r="C752" s="185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24.0" customHeight="1">
      <c r="A753" s="184"/>
      <c r="B753" s="8"/>
      <c r="C753" s="185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24.0" customHeight="1">
      <c r="A754" s="184"/>
      <c r="B754" s="8"/>
      <c r="C754" s="185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24.0" customHeight="1">
      <c r="A755" s="184"/>
      <c r="B755" s="8"/>
      <c r="C755" s="185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24.0" customHeight="1">
      <c r="A756" s="184"/>
      <c r="B756" s="8"/>
      <c r="C756" s="185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24.0" customHeight="1">
      <c r="A757" s="184"/>
      <c r="B757" s="8"/>
      <c r="C757" s="185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24.0" customHeight="1">
      <c r="A758" s="184"/>
      <c r="B758" s="8"/>
      <c r="C758" s="185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24.0" customHeight="1">
      <c r="A759" s="184"/>
      <c r="B759" s="8"/>
      <c r="C759" s="185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24.0" customHeight="1">
      <c r="A760" s="184"/>
      <c r="B760" s="8"/>
      <c r="C760" s="185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24.0" customHeight="1">
      <c r="A761" s="184"/>
      <c r="B761" s="8"/>
      <c r="C761" s="185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24.0" customHeight="1">
      <c r="A762" s="184"/>
      <c r="B762" s="8"/>
      <c r="C762" s="185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24.0" customHeight="1">
      <c r="A763" s="184"/>
      <c r="B763" s="8"/>
      <c r="C763" s="185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24.0" customHeight="1">
      <c r="A764" s="184"/>
      <c r="B764" s="8"/>
      <c r="C764" s="185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24.0" customHeight="1">
      <c r="A765" s="184"/>
      <c r="B765" s="8"/>
      <c r="C765" s="185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24.0" customHeight="1">
      <c r="A766" s="184"/>
      <c r="B766" s="8"/>
      <c r="C766" s="185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24.0" customHeight="1">
      <c r="A767" s="184"/>
      <c r="B767" s="8"/>
      <c r="C767" s="185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24.0" customHeight="1">
      <c r="A768" s="184"/>
      <c r="B768" s="8"/>
      <c r="C768" s="185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24.0" customHeight="1">
      <c r="A769" s="184"/>
      <c r="B769" s="8"/>
      <c r="C769" s="185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24.0" customHeight="1">
      <c r="A770" s="184"/>
      <c r="B770" s="8"/>
      <c r="C770" s="185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24.0" customHeight="1">
      <c r="A771" s="184"/>
      <c r="B771" s="8"/>
      <c r="C771" s="185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24.0" customHeight="1">
      <c r="A772" s="184"/>
      <c r="B772" s="8"/>
      <c r="C772" s="185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24.0" customHeight="1">
      <c r="A773" s="184"/>
      <c r="B773" s="8"/>
      <c r="C773" s="185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24.0" customHeight="1">
      <c r="A774" s="184"/>
      <c r="B774" s="8"/>
      <c r="C774" s="185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24.0" customHeight="1">
      <c r="A775" s="184"/>
      <c r="B775" s="8"/>
      <c r="C775" s="185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24.0" customHeight="1">
      <c r="A776" s="184"/>
      <c r="B776" s="8"/>
      <c r="C776" s="185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24.0" customHeight="1">
      <c r="A777" s="184"/>
      <c r="B777" s="8"/>
      <c r="C777" s="185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24.0" customHeight="1">
      <c r="A778" s="184"/>
      <c r="B778" s="8"/>
      <c r="C778" s="185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24.0" customHeight="1">
      <c r="A779" s="184"/>
      <c r="B779" s="8"/>
      <c r="C779" s="185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24.0" customHeight="1">
      <c r="A780" s="184"/>
      <c r="B780" s="8"/>
      <c r="C780" s="185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24.0" customHeight="1">
      <c r="A781" s="184"/>
      <c r="B781" s="8"/>
      <c r="C781" s="185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24.0" customHeight="1">
      <c r="A782" s="184"/>
      <c r="B782" s="8"/>
      <c r="C782" s="185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24.0" customHeight="1">
      <c r="A783" s="184"/>
      <c r="B783" s="8"/>
      <c r="C783" s="185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24.0" customHeight="1">
      <c r="A784" s="184"/>
      <c r="B784" s="8"/>
      <c r="C784" s="185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24.0" customHeight="1">
      <c r="A785" s="184"/>
      <c r="B785" s="8"/>
      <c r="C785" s="185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24.0" customHeight="1">
      <c r="A786" s="184"/>
      <c r="B786" s="8"/>
      <c r="C786" s="185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24.0" customHeight="1">
      <c r="A787" s="184"/>
      <c r="B787" s="8"/>
      <c r="C787" s="185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24.0" customHeight="1">
      <c r="A788" s="184"/>
      <c r="B788" s="8"/>
      <c r="C788" s="185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24.0" customHeight="1">
      <c r="A789" s="184"/>
      <c r="B789" s="8"/>
      <c r="C789" s="185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24.0" customHeight="1">
      <c r="A790" s="184"/>
      <c r="B790" s="8"/>
      <c r="C790" s="185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24.0" customHeight="1">
      <c r="A791" s="184"/>
      <c r="B791" s="8"/>
      <c r="C791" s="185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24.0" customHeight="1">
      <c r="A792" s="184"/>
      <c r="B792" s="8"/>
      <c r="C792" s="185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24.0" customHeight="1">
      <c r="A793" s="184"/>
      <c r="B793" s="8"/>
      <c r="C793" s="185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24.0" customHeight="1">
      <c r="A794" s="184"/>
      <c r="B794" s="8"/>
      <c r="C794" s="185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24.0" customHeight="1">
      <c r="A795" s="184"/>
      <c r="B795" s="8"/>
      <c r="C795" s="185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24.0" customHeight="1">
      <c r="A796" s="184"/>
      <c r="B796" s="8"/>
      <c r="C796" s="185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24.0" customHeight="1">
      <c r="A797" s="184"/>
      <c r="B797" s="8"/>
      <c r="C797" s="185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24.0" customHeight="1">
      <c r="A798" s="184"/>
      <c r="B798" s="8"/>
      <c r="C798" s="185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24.0" customHeight="1">
      <c r="A799" s="184"/>
      <c r="B799" s="8"/>
      <c r="C799" s="185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24.0" customHeight="1">
      <c r="A800" s="184"/>
      <c r="B800" s="8"/>
      <c r="C800" s="185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24.0" customHeight="1">
      <c r="A801" s="184"/>
      <c r="B801" s="8"/>
      <c r="C801" s="185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24.0" customHeight="1">
      <c r="A802" s="184"/>
      <c r="B802" s="8"/>
      <c r="C802" s="185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24.0" customHeight="1">
      <c r="A803" s="184"/>
      <c r="B803" s="8"/>
      <c r="C803" s="185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24.0" customHeight="1">
      <c r="A804" s="184"/>
      <c r="B804" s="8"/>
      <c r="C804" s="185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24.0" customHeight="1">
      <c r="A805" s="184"/>
      <c r="B805" s="8"/>
      <c r="C805" s="185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24.0" customHeight="1">
      <c r="A806" s="184"/>
      <c r="B806" s="8"/>
      <c r="C806" s="185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24.0" customHeight="1">
      <c r="A807" s="184"/>
      <c r="B807" s="8"/>
      <c r="C807" s="185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24.0" customHeight="1">
      <c r="A808" s="184"/>
      <c r="B808" s="8"/>
      <c r="C808" s="185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24.0" customHeight="1">
      <c r="A809" s="184"/>
      <c r="B809" s="8"/>
      <c r="C809" s="185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24.0" customHeight="1">
      <c r="A810" s="184"/>
      <c r="B810" s="8"/>
      <c r="C810" s="185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24.0" customHeight="1">
      <c r="A811" s="184"/>
      <c r="B811" s="8"/>
      <c r="C811" s="185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24.0" customHeight="1">
      <c r="A812" s="184"/>
      <c r="B812" s="8"/>
      <c r="C812" s="185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24.0" customHeight="1">
      <c r="A813" s="184"/>
      <c r="B813" s="8"/>
      <c r="C813" s="185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24.0" customHeight="1">
      <c r="A814" s="184"/>
      <c r="B814" s="8"/>
      <c r="C814" s="185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24.0" customHeight="1">
      <c r="A815" s="184"/>
      <c r="B815" s="8"/>
      <c r="C815" s="185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24.0" customHeight="1">
      <c r="A816" s="184"/>
      <c r="B816" s="8"/>
      <c r="C816" s="185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24.0" customHeight="1">
      <c r="A817" s="184"/>
      <c r="B817" s="8"/>
      <c r="C817" s="185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24.0" customHeight="1">
      <c r="A818" s="184"/>
      <c r="B818" s="8"/>
      <c r="C818" s="185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24.0" customHeight="1">
      <c r="A819" s="184"/>
      <c r="B819" s="8"/>
      <c r="C819" s="185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24.0" customHeight="1">
      <c r="A820" s="184"/>
      <c r="B820" s="8"/>
      <c r="C820" s="185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24.0" customHeight="1">
      <c r="A821" s="184"/>
      <c r="B821" s="8"/>
      <c r="C821" s="185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24.0" customHeight="1">
      <c r="A822" s="184"/>
      <c r="B822" s="8"/>
      <c r="C822" s="185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24.0" customHeight="1">
      <c r="A823" s="184"/>
      <c r="B823" s="8"/>
      <c r="C823" s="185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24.0" customHeight="1">
      <c r="A824" s="184"/>
      <c r="B824" s="8"/>
      <c r="C824" s="185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24.0" customHeight="1">
      <c r="A825" s="184"/>
      <c r="B825" s="8"/>
      <c r="C825" s="185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24.0" customHeight="1">
      <c r="A826" s="184"/>
      <c r="B826" s="8"/>
      <c r="C826" s="185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24.0" customHeight="1">
      <c r="A827" s="184"/>
      <c r="B827" s="8"/>
      <c r="C827" s="185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24.0" customHeight="1">
      <c r="A828" s="184"/>
      <c r="B828" s="8"/>
      <c r="C828" s="185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24.0" customHeight="1">
      <c r="A829" s="184"/>
      <c r="B829" s="8"/>
      <c r="C829" s="185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24.0" customHeight="1">
      <c r="A830" s="184"/>
      <c r="B830" s="8"/>
      <c r="C830" s="185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24.0" customHeight="1">
      <c r="A831" s="184"/>
      <c r="B831" s="8"/>
      <c r="C831" s="185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24.0" customHeight="1">
      <c r="A832" s="184"/>
      <c r="B832" s="8"/>
      <c r="C832" s="185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24.0" customHeight="1">
      <c r="A833" s="184"/>
      <c r="B833" s="8"/>
      <c r="C833" s="185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24.0" customHeight="1">
      <c r="A834" s="184"/>
      <c r="B834" s="8"/>
      <c r="C834" s="185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24.0" customHeight="1">
      <c r="A835" s="184"/>
      <c r="B835" s="8"/>
      <c r="C835" s="185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24.0" customHeight="1">
      <c r="A836" s="184"/>
      <c r="B836" s="8"/>
      <c r="C836" s="185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24.0" customHeight="1">
      <c r="A837" s="184"/>
      <c r="B837" s="8"/>
      <c r="C837" s="185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24.0" customHeight="1">
      <c r="A838" s="184"/>
      <c r="B838" s="8"/>
      <c r="C838" s="185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24.0" customHeight="1">
      <c r="A839" s="184"/>
      <c r="B839" s="8"/>
      <c r="C839" s="185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24.0" customHeight="1">
      <c r="A840" s="184"/>
      <c r="B840" s="8"/>
      <c r="C840" s="185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24.0" customHeight="1">
      <c r="A841" s="184"/>
      <c r="B841" s="8"/>
      <c r="C841" s="185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24.0" customHeight="1">
      <c r="A842" s="184"/>
      <c r="B842" s="8"/>
      <c r="C842" s="185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24.0" customHeight="1">
      <c r="A843" s="184"/>
      <c r="B843" s="8"/>
      <c r="C843" s="185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24.0" customHeight="1">
      <c r="A844" s="184"/>
      <c r="B844" s="8"/>
      <c r="C844" s="185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24.0" customHeight="1">
      <c r="A845" s="184"/>
      <c r="B845" s="8"/>
      <c r="C845" s="185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24.0" customHeight="1">
      <c r="A846" s="184"/>
      <c r="B846" s="8"/>
      <c r="C846" s="185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24.0" customHeight="1">
      <c r="A847" s="184"/>
      <c r="B847" s="8"/>
      <c r="C847" s="185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24.0" customHeight="1">
      <c r="A848" s="184"/>
      <c r="B848" s="8"/>
      <c r="C848" s="185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24.0" customHeight="1">
      <c r="A849" s="184"/>
      <c r="B849" s="8"/>
      <c r="C849" s="185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24.0" customHeight="1">
      <c r="A850" s="184"/>
      <c r="B850" s="8"/>
      <c r="C850" s="185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24.0" customHeight="1">
      <c r="A851" s="184"/>
      <c r="B851" s="8"/>
      <c r="C851" s="185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24.0" customHeight="1">
      <c r="A852" s="184"/>
      <c r="B852" s="8"/>
      <c r="C852" s="185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24.0" customHeight="1">
      <c r="A853" s="184"/>
      <c r="B853" s="8"/>
      <c r="C853" s="185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24.0" customHeight="1">
      <c r="A854" s="184"/>
      <c r="B854" s="8"/>
      <c r="C854" s="185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24.0" customHeight="1">
      <c r="A855" s="184"/>
      <c r="B855" s="8"/>
      <c r="C855" s="185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24.0" customHeight="1">
      <c r="A856" s="184"/>
      <c r="B856" s="8"/>
      <c r="C856" s="185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24.0" customHeight="1">
      <c r="A857" s="184"/>
      <c r="B857" s="8"/>
      <c r="C857" s="185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24.0" customHeight="1">
      <c r="A858" s="184"/>
      <c r="B858" s="8"/>
      <c r="C858" s="185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24.0" customHeight="1">
      <c r="A859" s="184"/>
      <c r="B859" s="8"/>
      <c r="C859" s="185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24.0" customHeight="1">
      <c r="A860" s="184"/>
      <c r="B860" s="8"/>
      <c r="C860" s="185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24.0" customHeight="1">
      <c r="A861" s="184"/>
      <c r="B861" s="8"/>
      <c r="C861" s="185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24.0" customHeight="1">
      <c r="A862" s="184"/>
      <c r="B862" s="8"/>
      <c r="C862" s="185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24.0" customHeight="1">
      <c r="A863" s="184"/>
      <c r="B863" s="8"/>
      <c r="C863" s="185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24.0" customHeight="1">
      <c r="A864" s="184"/>
      <c r="B864" s="8"/>
      <c r="C864" s="185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24.0" customHeight="1">
      <c r="A865" s="184"/>
      <c r="B865" s="8"/>
      <c r="C865" s="185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24.0" customHeight="1">
      <c r="A866" s="184"/>
      <c r="B866" s="8"/>
      <c r="C866" s="185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24.0" customHeight="1">
      <c r="A867" s="184"/>
      <c r="B867" s="8"/>
      <c r="C867" s="185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24.0" customHeight="1">
      <c r="A868" s="184"/>
      <c r="B868" s="8"/>
      <c r="C868" s="185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24.0" customHeight="1">
      <c r="A869" s="184"/>
      <c r="B869" s="8"/>
      <c r="C869" s="185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24.0" customHeight="1">
      <c r="A870" s="184"/>
      <c r="B870" s="8"/>
      <c r="C870" s="185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24.0" customHeight="1">
      <c r="A871" s="184"/>
      <c r="B871" s="8"/>
      <c r="C871" s="185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24.0" customHeight="1">
      <c r="A872" s="184"/>
      <c r="B872" s="8"/>
      <c r="C872" s="185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24.0" customHeight="1">
      <c r="A873" s="184"/>
      <c r="B873" s="8"/>
      <c r="C873" s="185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24.0" customHeight="1">
      <c r="A874" s="184"/>
      <c r="B874" s="8"/>
      <c r="C874" s="185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24.0" customHeight="1">
      <c r="A875" s="184"/>
      <c r="B875" s="8"/>
      <c r="C875" s="185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24.0" customHeight="1">
      <c r="A876" s="184"/>
      <c r="B876" s="8"/>
      <c r="C876" s="185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24.0" customHeight="1">
      <c r="A877" s="184"/>
      <c r="B877" s="8"/>
      <c r="C877" s="185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24.0" customHeight="1">
      <c r="A878" s="184"/>
      <c r="B878" s="8"/>
      <c r="C878" s="185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24.0" customHeight="1">
      <c r="A879" s="184"/>
      <c r="B879" s="8"/>
      <c r="C879" s="185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24.0" customHeight="1">
      <c r="A880" s="184"/>
      <c r="B880" s="8"/>
      <c r="C880" s="185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24.0" customHeight="1">
      <c r="A881" s="184"/>
      <c r="B881" s="8"/>
      <c r="C881" s="185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24.0" customHeight="1">
      <c r="A882" s="184"/>
      <c r="B882" s="8"/>
      <c r="C882" s="185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24.0" customHeight="1">
      <c r="A883" s="184"/>
      <c r="B883" s="8"/>
      <c r="C883" s="185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24.0" customHeight="1">
      <c r="A884" s="184"/>
      <c r="B884" s="8"/>
      <c r="C884" s="185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24.0" customHeight="1">
      <c r="A885" s="184"/>
      <c r="B885" s="8"/>
      <c r="C885" s="185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24.0" customHeight="1">
      <c r="A886" s="184"/>
      <c r="B886" s="8"/>
      <c r="C886" s="185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24.0" customHeight="1">
      <c r="A887" s="184"/>
      <c r="B887" s="8"/>
      <c r="C887" s="185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24.0" customHeight="1">
      <c r="A888" s="184"/>
      <c r="B888" s="8"/>
      <c r="C888" s="185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24.0" customHeight="1">
      <c r="A889" s="184"/>
      <c r="B889" s="8"/>
      <c r="C889" s="185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24.0" customHeight="1">
      <c r="A890" s="184"/>
      <c r="B890" s="8"/>
      <c r="C890" s="185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24.0" customHeight="1">
      <c r="A891" s="184"/>
      <c r="B891" s="8"/>
      <c r="C891" s="185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24.0" customHeight="1">
      <c r="A892" s="184"/>
      <c r="B892" s="8"/>
      <c r="C892" s="185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24.0" customHeight="1">
      <c r="A893" s="184"/>
      <c r="B893" s="8"/>
      <c r="C893" s="185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24.0" customHeight="1">
      <c r="A894" s="184"/>
      <c r="B894" s="8"/>
      <c r="C894" s="185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24.0" customHeight="1">
      <c r="A895" s="184"/>
      <c r="B895" s="8"/>
      <c r="C895" s="185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24.0" customHeight="1">
      <c r="A896" s="184"/>
      <c r="B896" s="8"/>
      <c r="C896" s="185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24.0" customHeight="1">
      <c r="A897" s="184"/>
      <c r="B897" s="8"/>
      <c r="C897" s="185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24.0" customHeight="1">
      <c r="A898" s="184"/>
      <c r="B898" s="8"/>
      <c r="C898" s="185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24.0" customHeight="1">
      <c r="A899" s="184"/>
      <c r="B899" s="8"/>
      <c r="C899" s="185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24.0" customHeight="1">
      <c r="A900" s="184"/>
      <c r="B900" s="8"/>
      <c r="C900" s="185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24.0" customHeight="1">
      <c r="A901" s="184"/>
      <c r="B901" s="8"/>
      <c r="C901" s="185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24.0" customHeight="1">
      <c r="A902" s="184"/>
      <c r="B902" s="8"/>
      <c r="C902" s="185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24.0" customHeight="1">
      <c r="A903" s="184"/>
      <c r="B903" s="8"/>
      <c r="C903" s="185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24.0" customHeight="1">
      <c r="A904" s="184"/>
      <c r="B904" s="8"/>
      <c r="C904" s="185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24.0" customHeight="1">
      <c r="A905" s="184"/>
      <c r="B905" s="8"/>
      <c r="C905" s="185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24.0" customHeight="1">
      <c r="A906" s="184"/>
      <c r="B906" s="8"/>
      <c r="C906" s="185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24.0" customHeight="1">
      <c r="A907" s="184"/>
      <c r="B907" s="8"/>
      <c r="C907" s="185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24.0" customHeight="1">
      <c r="A908" s="184"/>
      <c r="B908" s="8"/>
      <c r="C908" s="185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24.0" customHeight="1">
      <c r="A909" s="184"/>
      <c r="B909" s="8"/>
      <c r="C909" s="185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24.0" customHeight="1">
      <c r="A910" s="184"/>
      <c r="B910" s="8"/>
      <c r="C910" s="185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24.0" customHeight="1">
      <c r="A911" s="184"/>
      <c r="B911" s="8"/>
      <c r="C911" s="185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24.0" customHeight="1">
      <c r="A912" s="184"/>
      <c r="B912" s="8"/>
      <c r="C912" s="185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24.0" customHeight="1">
      <c r="A913" s="184"/>
      <c r="B913" s="8"/>
      <c r="C913" s="185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24.0" customHeight="1">
      <c r="A914" s="184"/>
      <c r="B914" s="8"/>
      <c r="C914" s="185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24.0" customHeight="1">
      <c r="A915" s="184"/>
      <c r="B915" s="8"/>
      <c r="C915" s="185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24.0" customHeight="1">
      <c r="A916" s="184"/>
      <c r="B916" s="8"/>
      <c r="C916" s="185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24.0" customHeight="1">
      <c r="A917" s="184"/>
      <c r="B917" s="8"/>
      <c r="C917" s="185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24.0" customHeight="1">
      <c r="A918" s="184"/>
      <c r="B918" s="8"/>
      <c r="C918" s="185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24.0" customHeight="1">
      <c r="A919" s="184"/>
      <c r="B919" s="8"/>
      <c r="C919" s="185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24.0" customHeight="1">
      <c r="A920" s="184"/>
      <c r="B920" s="8"/>
      <c r="C920" s="185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24.0" customHeight="1">
      <c r="A921" s="184"/>
      <c r="B921" s="8"/>
      <c r="C921" s="185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24.0" customHeight="1">
      <c r="A922" s="184"/>
      <c r="B922" s="8"/>
      <c r="C922" s="185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24.0" customHeight="1">
      <c r="A923" s="184"/>
      <c r="B923" s="8"/>
      <c r="C923" s="185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24.0" customHeight="1">
      <c r="A924" s="184"/>
      <c r="B924" s="8"/>
      <c r="C924" s="185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24.0" customHeight="1">
      <c r="A925" s="184"/>
      <c r="B925" s="8"/>
      <c r="C925" s="185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24.0" customHeight="1">
      <c r="A926" s="184"/>
      <c r="B926" s="8"/>
      <c r="C926" s="185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24.0" customHeight="1">
      <c r="A927" s="184"/>
      <c r="B927" s="8"/>
      <c r="C927" s="185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24.0" customHeight="1">
      <c r="A928" s="184"/>
      <c r="B928" s="8"/>
      <c r="C928" s="185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24.0" customHeight="1">
      <c r="A929" s="184"/>
      <c r="B929" s="8"/>
      <c r="C929" s="185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24.0" customHeight="1">
      <c r="A930" s="184"/>
      <c r="B930" s="8"/>
      <c r="C930" s="185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24.0" customHeight="1">
      <c r="A931" s="184"/>
      <c r="B931" s="8"/>
      <c r="C931" s="185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24.0" customHeight="1">
      <c r="A932" s="184"/>
      <c r="B932" s="8"/>
      <c r="C932" s="185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24.0" customHeight="1">
      <c r="A933" s="184"/>
      <c r="B933" s="8"/>
      <c r="C933" s="185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24.0" customHeight="1">
      <c r="A934" s="184"/>
      <c r="B934" s="8"/>
      <c r="C934" s="185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24.0" customHeight="1">
      <c r="A935" s="184"/>
      <c r="B935" s="8"/>
      <c r="C935" s="185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24.0" customHeight="1">
      <c r="A936" s="184"/>
      <c r="B936" s="8"/>
      <c r="C936" s="185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24.0" customHeight="1">
      <c r="A937" s="184"/>
      <c r="B937" s="8"/>
      <c r="C937" s="185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24.0" customHeight="1">
      <c r="A938" s="184"/>
      <c r="B938" s="8"/>
      <c r="C938" s="185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24.0" customHeight="1">
      <c r="A939" s="184"/>
      <c r="B939" s="8"/>
      <c r="C939" s="185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24.0" customHeight="1">
      <c r="A940" s="184"/>
      <c r="B940" s="8"/>
      <c r="C940" s="185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24.0" customHeight="1">
      <c r="A941" s="184"/>
      <c r="B941" s="8"/>
      <c r="C941" s="185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24.0" customHeight="1">
      <c r="A942" s="184"/>
      <c r="B942" s="8"/>
      <c r="C942" s="185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24.0" customHeight="1">
      <c r="A943" s="184"/>
      <c r="B943" s="8"/>
      <c r="C943" s="185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24.0" customHeight="1">
      <c r="A944" s="184"/>
      <c r="B944" s="8"/>
      <c r="C944" s="185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24.0" customHeight="1">
      <c r="A945" s="184"/>
      <c r="B945" s="8"/>
      <c r="C945" s="185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24.0" customHeight="1">
      <c r="A946" s="184"/>
      <c r="B946" s="8"/>
      <c r="C946" s="185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24.0" customHeight="1">
      <c r="A947" s="184"/>
      <c r="B947" s="8"/>
      <c r="C947" s="185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24.0" customHeight="1">
      <c r="A948" s="184"/>
      <c r="B948" s="8"/>
      <c r="C948" s="185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24.0" customHeight="1">
      <c r="A949" s="184"/>
      <c r="B949" s="8"/>
      <c r="C949" s="185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24.0" customHeight="1">
      <c r="A950" s="184"/>
      <c r="B950" s="8"/>
      <c r="C950" s="185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24.0" customHeight="1">
      <c r="A951" s="184"/>
      <c r="B951" s="8"/>
      <c r="C951" s="185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24.0" customHeight="1">
      <c r="A952" s="184"/>
      <c r="B952" s="8"/>
      <c r="C952" s="185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24.0" customHeight="1">
      <c r="A953" s="184"/>
      <c r="B953" s="8"/>
      <c r="C953" s="185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24.0" customHeight="1">
      <c r="A954" s="184"/>
      <c r="B954" s="8"/>
      <c r="C954" s="185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24.0" customHeight="1">
      <c r="A955" s="184"/>
      <c r="B955" s="8"/>
      <c r="C955" s="185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24.0" customHeight="1">
      <c r="A956" s="184"/>
      <c r="B956" s="8"/>
      <c r="C956" s="185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24.0" customHeight="1">
      <c r="A957" s="184"/>
      <c r="B957" s="8"/>
      <c r="C957" s="185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24.0" customHeight="1">
      <c r="A958" s="184"/>
      <c r="B958" s="8"/>
      <c r="C958" s="185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24.0" customHeight="1">
      <c r="A959" s="184"/>
      <c r="B959" s="8"/>
      <c r="C959" s="185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24.0" customHeight="1">
      <c r="A960" s="184"/>
      <c r="B960" s="8"/>
      <c r="C960" s="185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24.0" customHeight="1">
      <c r="A961" s="184"/>
      <c r="B961" s="8"/>
      <c r="C961" s="185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24.0" customHeight="1">
      <c r="A962" s="184"/>
      <c r="B962" s="8"/>
      <c r="C962" s="185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24.0" customHeight="1">
      <c r="A963" s="184"/>
      <c r="B963" s="8"/>
      <c r="C963" s="185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24.0" customHeight="1">
      <c r="A964" s="184"/>
      <c r="B964" s="8"/>
      <c r="C964" s="185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24.0" customHeight="1">
      <c r="A965" s="184"/>
      <c r="B965" s="8"/>
      <c r="C965" s="185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24.0" customHeight="1">
      <c r="A966" s="184"/>
      <c r="B966" s="8"/>
      <c r="C966" s="185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24.0" customHeight="1">
      <c r="A967" s="184"/>
      <c r="B967" s="8"/>
      <c r="C967" s="185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24.0" customHeight="1">
      <c r="A968" s="184"/>
      <c r="B968" s="8"/>
      <c r="C968" s="185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24.0" customHeight="1">
      <c r="A969" s="184"/>
      <c r="B969" s="8"/>
      <c r="C969" s="185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24.0" customHeight="1">
      <c r="A970" s="184"/>
      <c r="B970" s="8"/>
      <c r="C970" s="185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24.0" customHeight="1">
      <c r="A971" s="184"/>
      <c r="B971" s="8"/>
      <c r="C971" s="185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24.0" customHeight="1">
      <c r="A972" s="184"/>
      <c r="B972" s="8"/>
      <c r="C972" s="185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24.0" customHeight="1">
      <c r="A973" s="184"/>
      <c r="B973" s="8"/>
      <c r="C973" s="185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24.0" customHeight="1">
      <c r="A974" s="184"/>
      <c r="B974" s="8"/>
      <c r="C974" s="185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24.0" customHeight="1">
      <c r="A975" s="184"/>
      <c r="B975" s="8"/>
      <c r="C975" s="185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24.0" customHeight="1">
      <c r="A976" s="184"/>
      <c r="B976" s="8"/>
      <c r="C976" s="185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24.0" customHeight="1">
      <c r="A977" s="184"/>
      <c r="B977" s="8"/>
      <c r="C977" s="185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24.0" customHeight="1">
      <c r="A978" s="184"/>
      <c r="B978" s="8"/>
      <c r="C978" s="185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24.0" customHeight="1">
      <c r="A979" s="184"/>
      <c r="B979" s="8"/>
      <c r="C979" s="185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24.0" customHeight="1">
      <c r="A980" s="184"/>
      <c r="B980" s="8"/>
      <c r="C980" s="185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24.0" customHeight="1">
      <c r="A981" s="184"/>
      <c r="B981" s="8"/>
      <c r="C981" s="185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24.0" customHeight="1">
      <c r="A982" s="184"/>
      <c r="B982" s="8"/>
      <c r="C982" s="185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24.0" customHeight="1">
      <c r="A983" s="184"/>
      <c r="B983" s="8"/>
      <c r="C983" s="185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24.0" customHeight="1">
      <c r="A984" s="184"/>
      <c r="B984" s="8"/>
      <c r="C984" s="185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24.0" customHeight="1">
      <c r="A985" s="184"/>
      <c r="B985" s="8"/>
      <c r="C985" s="185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24.0" customHeight="1">
      <c r="A986" s="184"/>
      <c r="B986" s="8"/>
      <c r="C986" s="185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24.0" customHeight="1">
      <c r="A987" s="184"/>
      <c r="B987" s="8"/>
      <c r="C987" s="185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24.0" customHeight="1">
      <c r="A988" s="184"/>
      <c r="B988" s="8"/>
      <c r="C988" s="185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24.0" customHeight="1">
      <c r="A989" s="184"/>
      <c r="B989" s="8"/>
      <c r="C989" s="185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24.0" customHeight="1">
      <c r="A990" s="184"/>
      <c r="B990" s="8"/>
      <c r="C990" s="185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24.0" customHeight="1">
      <c r="A991" s="184"/>
      <c r="B991" s="8"/>
      <c r="C991" s="185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24.0" customHeight="1">
      <c r="A992" s="184"/>
      <c r="B992" s="8"/>
      <c r="C992" s="185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24.0" customHeight="1">
      <c r="A993" s="184"/>
      <c r="B993" s="8"/>
      <c r="C993" s="185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24.0" customHeight="1">
      <c r="A994" s="184"/>
      <c r="B994" s="8"/>
      <c r="C994" s="185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24.0" customHeight="1">
      <c r="A995" s="184"/>
      <c r="B995" s="8"/>
      <c r="C995" s="185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24.0" customHeight="1">
      <c r="A996" s="184"/>
      <c r="B996" s="8"/>
      <c r="C996" s="185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24.0" customHeight="1">
      <c r="A997" s="184"/>
      <c r="B997" s="8"/>
      <c r="C997" s="185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24.0" customHeight="1">
      <c r="A998" s="184"/>
      <c r="B998" s="8"/>
      <c r="C998" s="185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24.0" customHeight="1">
      <c r="A999" s="184"/>
      <c r="B999" s="8"/>
      <c r="C999" s="185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mergeCells count="1">
    <mergeCell ref="B1:D1"/>
  </mergeCells>
  <printOptions horizontalCentered="1"/>
  <pageMargins bottom="0.5" footer="0.0" header="0.0" left="0.3" right="0.3" top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3.25"/>
    <col customWidth="1" min="3" max="3" width="15.38"/>
    <col customWidth="1" min="4" max="14" width="14.38"/>
    <col customWidth="1" min="15" max="15" width="18.38"/>
    <col customWidth="1" min="16" max="16" width="2.75"/>
    <col customWidth="1" min="17" max="26" width="16.63"/>
  </cols>
  <sheetData>
    <row r="1" ht="60.0" customHeight="1">
      <c r="A1" s="9"/>
      <c r="B1" s="12" t="s">
        <v>2</v>
      </c>
      <c r="C1" s="14"/>
      <c r="D1" s="14"/>
      <c r="E1" s="16"/>
      <c r="F1" s="16"/>
      <c r="G1" s="16"/>
      <c r="H1" s="16"/>
      <c r="I1" s="16"/>
      <c r="J1" s="16"/>
      <c r="K1" s="16"/>
      <c r="L1" s="16"/>
      <c r="M1" s="16"/>
      <c r="N1" s="16"/>
      <c r="O1" s="6"/>
      <c r="P1" s="7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28.5" customHeight="1">
      <c r="A2" s="25"/>
      <c r="B2" s="27">
        <v>2026.0</v>
      </c>
      <c r="C2" s="29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34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54.75" customHeight="1">
      <c r="A3" s="39"/>
      <c r="B3" s="40"/>
      <c r="C3" s="42"/>
      <c r="D3" s="14"/>
      <c r="E3" s="43"/>
      <c r="F3" s="43"/>
      <c r="G3" s="43"/>
      <c r="H3" s="43"/>
      <c r="I3" s="43"/>
      <c r="J3" s="43"/>
      <c r="K3" s="43"/>
      <c r="L3" s="43"/>
      <c r="M3" s="43"/>
      <c r="N3" s="43"/>
      <c r="O3" s="45"/>
      <c r="P3" s="46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45.0" customHeight="1">
      <c r="A4" s="25"/>
      <c r="B4" s="50"/>
      <c r="C4" s="31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34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30.0" customHeight="1">
      <c r="A5" s="36"/>
      <c r="B5" s="54"/>
      <c r="C5" s="56"/>
      <c r="D5" s="56"/>
      <c r="E5" s="57"/>
      <c r="F5" s="57"/>
      <c r="G5" s="59"/>
      <c r="H5" s="57"/>
      <c r="I5" s="57"/>
      <c r="J5" s="59"/>
      <c r="K5" s="57"/>
      <c r="L5" s="59"/>
      <c r="M5" s="57"/>
      <c r="N5" s="57"/>
      <c r="O5" s="57"/>
      <c r="P5" s="44"/>
      <c r="Q5" s="8"/>
      <c r="R5" s="8"/>
      <c r="S5" s="8"/>
      <c r="T5" s="8"/>
      <c r="U5" s="8"/>
      <c r="V5" s="8"/>
      <c r="W5" s="8"/>
      <c r="X5" s="8"/>
      <c r="Y5" s="8"/>
      <c r="Z5" s="8"/>
    </row>
    <row r="6" ht="36.0" customHeight="1">
      <c r="A6" s="64"/>
      <c r="B6" s="65"/>
      <c r="C6" s="66" t="s">
        <v>5</v>
      </c>
      <c r="D6" s="67" t="s">
        <v>6</v>
      </c>
      <c r="E6" s="68" t="s">
        <v>7</v>
      </c>
      <c r="F6" s="69" t="s">
        <v>8</v>
      </c>
      <c r="G6" s="69" t="s">
        <v>9</v>
      </c>
      <c r="H6" s="72" t="s">
        <v>10</v>
      </c>
      <c r="I6" s="74" t="s">
        <v>11</v>
      </c>
      <c r="J6" s="69" t="s">
        <v>12</v>
      </c>
      <c r="K6" s="75" t="s">
        <v>13</v>
      </c>
      <c r="L6" s="69" t="s">
        <v>14</v>
      </c>
      <c r="M6" s="75" t="s">
        <v>15</v>
      </c>
      <c r="N6" s="75" t="s">
        <v>16</v>
      </c>
      <c r="O6" s="72" t="s">
        <v>17</v>
      </c>
      <c r="P6" s="64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24.0" customHeight="1">
      <c r="A7" s="58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3"/>
      <c r="O7" s="82"/>
      <c r="P7" s="71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24.0" customHeight="1">
      <c r="A8" s="36"/>
      <c r="B8" s="85" t="s">
        <v>19</v>
      </c>
      <c r="C8" s="86" t="s">
        <v>20</v>
      </c>
      <c r="D8" s="86" t="s">
        <v>21</v>
      </c>
      <c r="E8" s="86" t="s">
        <v>22</v>
      </c>
      <c r="F8" s="86" t="s">
        <v>23</v>
      </c>
      <c r="G8" s="86" t="s">
        <v>24</v>
      </c>
      <c r="H8" s="86" t="s">
        <v>25</v>
      </c>
      <c r="I8" s="86" t="s">
        <v>26</v>
      </c>
      <c r="J8" s="86" t="s">
        <v>27</v>
      </c>
      <c r="K8" s="86" t="s">
        <v>28</v>
      </c>
      <c r="L8" s="86" t="s">
        <v>29</v>
      </c>
      <c r="M8" s="86" t="s">
        <v>30</v>
      </c>
      <c r="N8" s="86" t="s">
        <v>31</v>
      </c>
      <c r="O8" s="86" t="s">
        <v>32</v>
      </c>
      <c r="P8" s="44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36"/>
      <c r="B9" s="88" t="s">
        <v>33</v>
      </c>
      <c r="C9" s="89">
        <v>5200.0</v>
      </c>
      <c r="D9" s="89">
        <v>6157.0</v>
      </c>
      <c r="E9" s="90">
        <v>6000.0</v>
      </c>
      <c r="F9" s="91">
        <v>6186.69</v>
      </c>
      <c r="G9" s="90">
        <v>6166.11</v>
      </c>
      <c r="H9" s="90">
        <v>7030.0</v>
      </c>
      <c r="I9" s="90">
        <v>7200.0</v>
      </c>
      <c r="J9" s="90">
        <v>7150.0</v>
      </c>
      <c r="K9" s="92"/>
      <c r="L9" s="93"/>
      <c r="M9" s="92"/>
      <c r="N9" s="94"/>
      <c r="O9" s="95"/>
      <c r="P9" s="44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36"/>
      <c r="B10" s="88" t="s">
        <v>34</v>
      </c>
      <c r="C10" s="89">
        <v>2131.0</v>
      </c>
      <c r="D10" s="89">
        <v>2450.0</v>
      </c>
      <c r="E10" s="90">
        <v>2424.0</v>
      </c>
      <c r="F10" s="98">
        <v>2636.0</v>
      </c>
      <c r="G10" s="90">
        <v>2646.0</v>
      </c>
      <c r="H10" s="90">
        <v>2979.0</v>
      </c>
      <c r="I10" s="90">
        <v>2979.0</v>
      </c>
      <c r="J10" s="90">
        <v>2979.0</v>
      </c>
      <c r="K10" s="92"/>
      <c r="L10" s="93"/>
      <c r="M10" s="93"/>
      <c r="N10" s="94"/>
      <c r="O10" s="95"/>
      <c r="P10" s="44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58"/>
      <c r="B11" s="88" t="s">
        <v>36</v>
      </c>
      <c r="C11" s="89">
        <v>1695.0</v>
      </c>
      <c r="D11" s="89">
        <v>1695.0</v>
      </c>
      <c r="E11" s="101">
        <v>1695.0</v>
      </c>
      <c r="F11" s="101">
        <v>1695.0</v>
      </c>
      <c r="G11" s="93"/>
      <c r="H11" s="95"/>
      <c r="I11" s="92"/>
      <c r="J11" s="93"/>
      <c r="K11" s="92"/>
      <c r="L11" s="93"/>
      <c r="M11" s="92"/>
      <c r="N11" s="94"/>
      <c r="O11" s="95">
        <f>SUM('Expenses 2026'!$C11:$N11)</f>
        <v>6780</v>
      </c>
      <c r="P11" s="71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24.0" customHeight="1">
      <c r="A12" s="36"/>
      <c r="B12" s="110" t="s">
        <v>38</v>
      </c>
      <c r="C12" s="113">
        <f t="shared" ref="C12:G12" si="1">SUM(C9,C10,C11)</f>
        <v>9026</v>
      </c>
      <c r="D12" s="113">
        <f t="shared" si="1"/>
        <v>10302</v>
      </c>
      <c r="E12" s="113">
        <f t="shared" si="1"/>
        <v>10119</v>
      </c>
      <c r="F12" s="113">
        <f t="shared" si="1"/>
        <v>10517.69</v>
      </c>
      <c r="G12" s="113">
        <f t="shared" si="1"/>
        <v>8812.11</v>
      </c>
      <c r="H12" s="115">
        <f t="shared" ref="H12:L12" si="2">SUM(H9,H10)</f>
        <v>10009</v>
      </c>
      <c r="I12" s="115">
        <f t="shared" si="2"/>
        <v>10179</v>
      </c>
      <c r="J12" s="115">
        <f t="shared" si="2"/>
        <v>10129</v>
      </c>
      <c r="K12" s="115">
        <f t="shared" si="2"/>
        <v>0</v>
      </c>
      <c r="L12" s="115">
        <f t="shared" si="2"/>
        <v>0</v>
      </c>
      <c r="M12" s="115">
        <f>SUM(M9,M10,M11)</f>
        <v>0</v>
      </c>
      <c r="N12" s="119">
        <f>SUM(N9:N11)</f>
        <v>0</v>
      </c>
      <c r="O12" s="121">
        <f>SUM(C12:N12)</f>
        <v>79093.8</v>
      </c>
      <c r="P12" s="44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6"/>
      <c r="B13" s="122" t="s">
        <v>39</v>
      </c>
      <c r="C13" s="123" t="s">
        <v>20</v>
      </c>
      <c r="D13" s="123" t="s">
        <v>21</v>
      </c>
      <c r="E13" s="123" t="s">
        <v>22</v>
      </c>
      <c r="F13" s="86" t="s">
        <v>23</v>
      </c>
      <c r="G13" s="86" t="s">
        <v>24</v>
      </c>
      <c r="H13" s="86" t="s">
        <v>25</v>
      </c>
      <c r="I13" s="86" t="s">
        <v>26</v>
      </c>
      <c r="J13" s="86" t="s">
        <v>27</v>
      </c>
      <c r="K13" s="86" t="s">
        <v>28</v>
      </c>
      <c r="L13" s="86" t="s">
        <v>29</v>
      </c>
      <c r="M13" s="86" t="s">
        <v>30</v>
      </c>
      <c r="N13" s="125" t="s">
        <v>31</v>
      </c>
      <c r="O13" s="86" t="s">
        <v>32</v>
      </c>
      <c r="P13" s="44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36"/>
      <c r="B14" s="127" t="s">
        <v>40</v>
      </c>
      <c r="C14" s="128">
        <f>65+165</f>
        <v>230</v>
      </c>
      <c r="D14" s="128">
        <f>170+65</f>
        <v>235</v>
      </c>
      <c r="E14" s="129">
        <v>230.0</v>
      </c>
      <c r="F14" s="133">
        <f>178.58+65</f>
        <v>243.58</v>
      </c>
      <c r="G14" s="133">
        <f>178.58+65+404</f>
        <v>647.58</v>
      </c>
      <c r="H14" s="134">
        <f>177+65+178.98+65.89</f>
        <v>486.87</v>
      </c>
      <c r="I14" s="134">
        <f>179.38+65.89</f>
        <v>245.27</v>
      </c>
      <c r="J14" s="134">
        <v>250.0</v>
      </c>
      <c r="K14" s="133"/>
      <c r="L14" s="133"/>
      <c r="M14" s="133"/>
      <c r="N14" s="136"/>
      <c r="O14" s="133"/>
      <c r="P14" s="44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36"/>
      <c r="B15" s="137" t="s">
        <v>52</v>
      </c>
      <c r="C15" s="89">
        <v>250.0</v>
      </c>
      <c r="D15" s="89">
        <v>248.0</v>
      </c>
      <c r="E15" s="90">
        <v>248.0</v>
      </c>
      <c r="F15" s="90">
        <v>248.0</v>
      </c>
      <c r="G15" s="90">
        <v>248.0</v>
      </c>
      <c r="H15" s="139">
        <v>248.0</v>
      </c>
      <c r="I15" s="139">
        <v>248.0</v>
      </c>
      <c r="J15" s="139">
        <v>248.0</v>
      </c>
      <c r="K15" s="92"/>
      <c r="L15" s="93"/>
      <c r="M15" s="92"/>
      <c r="N15" s="94"/>
      <c r="O15" s="95"/>
      <c r="P15" s="44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36"/>
      <c r="B16" s="137" t="s">
        <v>58</v>
      </c>
      <c r="C16" s="128">
        <f>100+82+102+20</f>
        <v>304</v>
      </c>
      <c r="D16" s="128">
        <v>100.0</v>
      </c>
      <c r="E16" s="140">
        <f>86+86</f>
        <v>172</v>
      </c>
      <c r="F16" s="140">
        <f>87+100</f>
        <v>187</v>
      </c>
      <c r="G16" s="140">
        <f>22+100</f>
        <v>122</v>
      </c>
      <c r="H16" s="140">
        <f>88+22+89</f>
        <v>199</v>
      </c>
      <c r="I16" s="140">
        <f>112.36+90+20+89.69</f>
        <v>312.05</v>
      </c>
      <c r="J16" s="143">
        <f>110+22</f>
        <v>132</v>
      </c>
      <c r="K16" s="143"/>
      <c r="L16" s="143"/>
      <c r="M16" s="143"/>
      <c r="N16" s="136"/>
      <c r="O16" s="95"/>
      <c r="P16" s="44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36"/>
      <c r="B17" s="137" t="s">
        <v>70</v>
      </c>
      <c r="C17" s="89">
        <v>2810.0</v>
      </c>
      <c r="D17" s="89">
        <v>2200.0</v>
      </c>
      <c r="E17" s="145">
        <v>2177.0</v>
      </c>
      <c r="F17" s="145">
        <v>2177.0</v>
      </c>
      <c r="G17" s="145">
        <v>2177.0</v>
      </c>
      <c r="H17" s="146">
        <v>2333.55</v>
      </c>
      <c r="I17" s="140">
        <v>2400.0</v>
      </c>
      <c r="J17" s="147">
        <v>2756.64</v>
      </c>
      <c r="K17" s="143"/>
      <c r="L17" s="148"/>
      <c r="M17" s="148"/>
      <c r="N17" s="149"/>
      <c r="O17" s="95"/>
      <c r="P17" s="44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36"/>
      <c r="B18" s="137" t="s">
        <v>72</v>
      </c>
      <c r="C18" s="89">
        <v>518.0</v>
      </c>
      <c r="D18" s="89">
        <v>607.0</v>
      </c>
      <c r="E18" s="145">
        <v>761.0</v>
      </c>
      <c r="F18" s="150">
        <v>761.0</v>
      </c>
      <c r="G18" s="134">
        <v>500.0</v>
      </c>
      <c r="H18" s="146">
        <v>535.0</v>
      </c>
      <c r="I18" s="140">
        <v>680.61</v>
      </c>
      <c r="J18" s="147">
        <v>682.06</v>
      </c>
      <c r="K18" s="140">
        <v>681.0</v>
      </c>
      <c r="L18" s="148"/>
      <c r="M18" s="148"/>
      <c r="N18" s="136"/>
      <c r="O18" s="95"/>
      <c r="P18" s="44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58"/>
      <c r="B19" s="137" t="s">
        <v>75</v>
      </c>
      <c r="C19" s="89">
        <v>90.0</v>
      </c>
      <c r="D19" s="128">
        <v>91.92</v>
      </c>
      <c r="E19" s="152">
        <v>95.59</v>
      </c>
      <c r="F19" s="152">
        <v>95.59</v>
      </c>
      <c r="G19" s="152">
        <v>95.59</v>
      </c>
      <c r="H19" s="152">
        <v>95.59</v>
      </c>
      <c r="I19" s="152">
        <v>95.59</v>
      </c>
      <c r="J19" s="152">
        <v>95.59</v>
      </c>
      <c r="K19" s="152">
        <v>95.59</v>
      </c>
      <c r="L19" s="152">
        <v>95.59</v>
      </c>
      <c r="M19" s="152">
        <v>95.59</v>
      </c>
      <c r="N19" s="152">
        <v>95.59</v>
      </c>
      <c r="O19" s="152"/>
      <c r="P19" s="71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24.0" customHeight="1">
      <c r="A20" s="36"/>
      <c r="B20" s="137" t="s">
        <v>76</v>
      </c>
      <c r="C20" s="89">
        <v>32.0</v>
      </c>
      <c r="D20" s="128">
        <v>33.09</v>
      </c>
      <c r="E20" s="140">
        <v>33.09</v>
      </c>
      <c r="F20" s="140">
        <v>33.09</v>
      </c>
      <c r="G20" s="140">
        <v>33.09</v>
      </c>
      <c r="H20" s="140">
        <v>33.09</v>
      </c>
      <c r="I20" s="140">
        <v>33.09</v>
      </c>
      <c r="J20" s="140">
        <v>33.09</v>
      </c>
      <c r="K20" s="140">
        <v>33.09</v>
      </c>
      <c r="L20" s="140">
        <v>33.09</v>
      </c>
      <c r="M20" s="140">
        <v>33.09</v>
      </c>
      <c r="N20" s="140">
        <v>33.09</v>
      </c>
      <c r="O20" s="95">
        <f>SUM('Expenses 2026'!$C20:$N20)</f>
        <v>395.99</v>
      </c>
      <c r="P20" s="44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36"/>
      <c r="B21" s="137" t="s">
        <v>77</v>
      </c>
      <c r="C21" s="89">
        <f t="shared" ref="C21:N21" si="3">14771.75/507</f>
        <v>29.13560158</v>
      </c>
      <c r="D21" s="89">
        <f t="shared" si="3"/>
        <v>29.13560158</v>
      </c>
      <c r="E21" s="156">
        <f t="shared" si="3"/>
        <v>29.13560158</v>
      </c>
      <c r="F21" s="143">
        <f t="shared" si="3"/>
        <v>29.13560158</v>
      </c>
      <c r="G21" s="143">
        <f t="shared" si="3"/>
        <v>29.13560158</v>
      </c>
      <c r="H21" s="143">
        <f t="shared" si="3"/>
        <v>29.13560158</v>
      </c>
      <c r="I21" s="143">
        <f t="shared" si="3"/>
        <v>29.13560158</v>
      </c>
      <c r="J21" s="143">
        <f t="shared" si="3"/>
        <v>29.13560158</v>
      </c>
      <c r="K21" s="143">
        <f t="shared" si="3"/>
        <v>29.13560158</v>
      </c>
      <c r="L21" s="143">
        <f t="shared" si="3"/>
        <v>29.13560158</v>
      </c>
      <c r="M21" s="143">
        <f t="shared" si="3"/>
        <v>29.13560158</v>
      </c>
      <c r="N21" s="143">
        <f t="shared" si="3"/>
        <v>29.13560158</v>
      </c>
      <c r="O21" s="95">
        <f>SUM('Expenses 2026'!$C21:$N21)</f>
        <v>349.6272189</v>
      </c>
      <c r="P21" s="44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36"/>
      <c r="B22" s="88" t="s">
        <v>79</v>
      </c>
      <c r="C22" s="128">
        <v>425.0</v>
      </c>
      <c r="D22" s="128"/>
      <c r="E22" s="160"/>
      <c r="F22" s="150">
        <f>534.73+226</f>
        <v>760.73</v>
      </c>
      <c r="G22" s="133"/>
      <c r="H22" s="162"/>
      <c r="I22" s="143"/>
      <c r="J22" s="147">
        <v>2333.45</v>
      </c>
      <c r="K22" s="143"/>
      <c r="L22" s="148"/>
      <c r="M22" s="148"/>
      <c r="N22" s="136"/>
      <c r="O22" s="95"/>
      <c r="P22" s="44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36"/>
      <c r="B23" s="88" t="s">
        <v>80</v>
      </c>
      <c r="C23" s="89">
        <v>56.0</v>
      </c>
      <c r="D23" s="89">
        <v>56.0</v>
      </c>
      <c r="E23" s="90">
        <v>56.0</v>
      </c>
      <c r="F23" s="117">
        <v>56.0</v>
      </c>
      <c r="G23" s="117">
        <v>56.0</v>
      </c>
      <c r="H23" s="117">
        <v>56.0</v>
      </c>
      <c r="I23" s="117">
        <v>56.0</v>
      </c>
      <c r="J23" s="117">
        <v>56.0</v>
      </c>
      <c r="K23" s="117">
        <v>56.0</v>
      </c>
      <c r="L23" s="117">
        <v>56.0</v>
      </c>
      <c r="M23" s="117">
        <v>56.0</v>
      </c>
      <c r="N23" s="117">
        <v>56.0</v>
      </c>
      <c r="O23" s="95">
        <f>SUM('Expenses 2026'!$C23:$N23)</f>
        <v>672</v>
      </c>
      <c r="P23" s="44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A24" s="36"/>
      <c r="B24" s="171" t="s">
        <v>81</v>
      </c>
      <c r="C24" s="128">
        <v>102.0</v>
      </c>
      <c r="D24" s="128">
        <v>170.0</v>
      </c>
      <c r="E24" s="172">
        <v>283.0</v>
      </c>
      <c r="F24" s="172">
        <v>175.0</v>
      </c>
      <c r="G24" s="172">
        <v>421.0</v>
      </c>
      <c r="H24" s="172">
        <v>445.53</v>
      </c>
      <c r="I24" s="172">
        <v>253.44</v>
      </c>
      <c r="J24" s="172">
        <v>238.22</v>
      </c>
      <c r="K24" s="95"/>
      <c r="L24" s="95"/>
      <c r="M24" s="95"/>
      <c r="N24" s="94"/>
      <c r="O24" s="95"/>
      <c r="P24" s="44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A25" s="36"/>
      <c r="B25" s="173" t="s">
        <v>82</v>
      </c>
      <c r="C25" s="128">
        <v>297.0</v>
      </c>
      <c r="D25" s="128">
        <v>297.01</v>
      </c>
      <c r="E25" s="92">
        <v>230.31</v>
      </c>
      <c r="F25" s="92">
        <v>230.31</v>
      </c>
      <c r="G25" s="92">
        <v>230.31</v>
      </c>
      <c r="H25" s="92">
        <v>297.0</v>
      </c>
      <c r="I25" s="92">
        <v>297.0</v>
      </c>
      <c r="J25" s="92">
        <v>297.0</v>
      </c>
      <c r="K25" s="92">
        <v>297.0</v>
      </c>
      <c r="L25" s="92">
        <v>297.0</v>
      </c>
      <c r="M25" s="92">
        <v>297.0</v>
      </c>
      <c r="N25" s="94">
        <v>297.0</v>
      </c>
      <c r="O25" s="95">
        <f>SUM('Expenses 2026'!$C25:$N25)</f>
        <v>3363.94</v>
      </c>
      <c r="P25" s="44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A26" s="36"/>
      <c r="B26" s="88" t="s">
        <v>83</v>
      </c>
      <c r="C26" s="89">
        <f t="shared" ref="C26:H26" si="4">217897/507</f>
        <v>429.7771203</v>
      </c>
      <c r="D26" s="89">
        <f t="shared" si="4"/>
        <v>429.7771203</v>
      </c>
      <c r="E26" s="174">
        <f t="shared" si="4"/>
        <v>429.7771203</v>
      </c>
      <c r="F26" s="103">
        <f t="shared" si="4"/>
        <v>429.7771203</v>
      </c>
      <c r="G26" s="103">
        <f t="shared" si="4"/>
        <v>429.7771203</v>
      </c>
      <c r="H26" s="103">
        <f t="shared" si="4"/>
        <v>429.7771203</v>
      </c>
      <c r="I26" s="117">
        <v>400.0</v>
      </c>
      <c r="J26" s="117">
        <v>400.0</v>
      </c>
      <c r="K26" s="117">
        <v>400.0</v>
      </c>
      <c r="L26" s="117">
        <v>400.0</v>
      </c>
      <c r="M26" s="117">
        <v>400.0</v>
      </c>
      <c r="N26" s="117">
        <v>400.0</v>
      </c>
      <c r="O26" s="95">
        <f>SUM('Expenses 2026'!$C26:$N26)</f>
        <v>4978.662722</v>
      </c>
      <c r="P26" s="44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36"/>
      <c r="B27" s="173" t="s">
        <v>84</v>
      </c>
      <c r="C27" s="128">
        <v>250.0</v>
      </c>
      <c r="D27" s="128">
        <v>250.0</v>
      </c>
      <c r="E27" s="114">
        <v>250.0</v>
      </c>
      <c r="F27" s="114">
        <v>250.0</v>
      </c>
      <c r="G27" s="114">
        <v>250.0</v>
      </c>
      <c r="H27" s="114">
        <v>250.0</v>
      </c>
      <c r="I27" s="114">
        <v>250.0</v>
      </c>
      <c r="J27" s="114">
        <v>250.0</v>
      </c>
      <c r="K27" s="114">
        <v>250.0</v>
      </c>
      <c r="L27" s="114">
        <v>250.0</v>
      </c>
      <c r="M27" s="114">
        <v>250.0</v>
      </c>
      <c r="N27" s="114">
        <v>250.0</v>
      </c>
      <c r="O27" s="95">
        <f>SUM('Expenses 2026'!$C27:$N27)</f>
        <v>3000</v>
      </c>
      <c r="P27" s="44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36"/>
      <c r="B28" s="173" t="s">
        <v>85</v>
      </c>
      <c r="C28" s="89">
        <f>377+57+998+62+58</f>
        <v>1552</v>
      </c>
      <c r="D28" s="89">
        <f>62+1866.61</f>
        <v>1928.61</v>
      </c>
      <c r="E28" s="95"/>
      <c r="F28" s="114">
        <v>580.0</v>
      </c>
      <c r="G28" s="172">
        <v>250.0</v>
      </c>
      <c r="H28" s="95"/>
      <c r="I28" s="95"/>
      <c r="J28" s="95"/>
      <c r="K28" s="95"/>
      <c r="L28" s="95"/>
      <c r="M28" s="95"/>
      <c r="N28" s="175"/>
      <c r="O28" s="95"/>
      <c r="P28" s="44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36"/>
      <c r="B29" s="173" t="s">
        <v>86</v>
      </c>
      <c r="C29" s="128">
        <v>450.0</v>
      </c>
      <c r="D29" s="128">
        <v>8094.58</v>
      </c>
      <c r="E29" s="95"/>
      <c r="F29" s="93"/>
      <c r="G29" s="95"/>
      <c r="H29" s="128">
        <v>2650.98</v>
      </c>
      <c r="I29" s="92"/>
      <c r="J29" s="93"/>
      <c r="K29" s="92"/>
      <c r="L29" s="93"/>
      <c r="M29" s="92"/>
      <c r="N29" s="136"/>
      <c r="O29" s="95"/>
      <c r="P29" s="44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36"/>
      <c r="B30" s="176" t="s">
        <v>87</v>
      </c>
      <c r="C30" s="89">
        <f>617+95.94</f>
        <v>712.94</v>
      </c>
      <c r="D30" s="89">
        <v>80.0</v>
      </c>
      <c r="E30" s="177">
        <v>320.0</v>
      </c>
      <c r="F30" s="114">
        <v>180.0</v>
      </c>
      <c r="G30" s="172">
        <v>77.0</v>
      </c>
      <c r="H30" s="92"/>
      <c r="I30" s="128">
        <f>29.91+72.6</f>
        <v>102.51</v>
      </c>
      <c r="J30" s="93"/>
      <c r="K30" s="128">
        <v>251.99</v>
      </c>
      <c r="L30" s="93"/>
      <c r="M30" s="92"/>
      <c r="N30" s="136"/>
      <c r="O30" s="95"/>
      <c r="P30" s="44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36"/>
      <c r="B31" s="110" t="s">
        <v>38</v>
      </c>
      <c r="C31" s="115">
        <f t="shared" ref="C31:N31" si="5">SUM(C13:C30)</f>
        <v>8537.852722</v>
      </c>
      <c r="D31" s="115">
        <f t="shared" si="5"/>
        <v>14850.12272</v>
      </c>
      <c r="E31" s="115">
        <f t="shared" si="5"/>
        <v>5314.902722</v>
      </c>
      <c r="F31" s="115">
        <f t="shared" si="5"/>
        <v>6436.212722</v>
      </c>
      <c r="G31" s="115">
        <f t="shared" si="5"/>
        <v>5566.482722</v>
      </c>
      <c r="H31" s="115">
        <f t="shared" si="5"/>
        <v>8089.522722</v>
      </c>
      <c r="I31" s="115">
        <f t="shared" si="5"/>
        <v>5402.695602</v>
      </c>
      <c r="J31" s="115">
        <f t="shared" si="5"/>
        <v>7801.185602</v>
      </c>
      <c r="K31" s="115">
        <f t="shared" si="5"/>
        <v>2093.805602</v>
      </c>
      <c r="L31" s="115">
        <f t="shared" si="5"/>
        <v>1160.815602</v>
      </c>
      <c r="M31" s="115">
        <f t="shared" si="5"/>
        <v>1160.815602</v>
      </c>
      <c r="N31" s="115">
        <f t="shared" si="5"/>
        <v>1160.815602</v>
      </c>
      <c r="O31" s="183">
        <f>SUM(C31:N31)</f>
        <v>67575.22994</v>
      </c>
      <c r="P31" s="44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36"/>
      <c r="B32" s="85" t="s">
        <v>88</v>
      </c>
      <c r="C32" s="123" t="s">
        <v>20</v>
      </c>
      <c r="D32" s="123" t="s">
        <v>21</v>
      </c>
      <c r="E32" s="123" t="s">
        <v>22</v>
      </c>
      <c r="F32" s="86" t="s">
        <v>23</v>
      </c>
      <c r="G32" s="86" t="s">
        <v>24</v>
      </c>
      <c r="H32" s="86" t="s">
        <v>25</v>
      </c>
      <c r="I32" s="86" t="s">
        <v>26</v>
      </c>
      <c r="J32" s="86" t="s">
        <v>27</v>
      </c>
      <c r="K32" s="86" t="s">
        <v>28</v>
      </c>
      <c r="L32" s="86" t="s">
        <v>29</v>
      </c>
      <c r="M32" s="86" t="s">
        <v>30</v>
      </c>
      <c r="N32" s="86" t="s">
        <v>31</v>
      </c>
      <c r="O32" s="86" t="s">
        <v>32</v>
      </c>
      <c r="P32" s="44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36"/>
      <c r="B33" s="186" t="s">
        <v>89</v>
      </c>
      <c r="C33" s="172">
        <f>187+90+240+193+241+58</f>
        <v>1009</v>
      </c>
      <c r="D33" s="172">
        <f>241.47+150+95+266+293+87.48+204.17</f>
        <v>1337.12</v>
      </c>
      <c r="E33" s="187">
        <v>1548.0</v>
      </c>
      <c r="F33" s="188">
        <f>225+126+135+225</f>
        <v>711</v>
      </c>
      <c r="G33" s="188"/>
      <c r="H33" s="188">
        <f>158+136+82+231+196.24+100</f>
        <v>903.24</v>
      </c>
      <c r="I33" s="189">
        <f>97+30+208.07+22+226.29+232.6+245.21</f>
        <v>1061.17</v>
      </c>
      <c r="J33" s="189">
        <f>156.31+0+201+188+176</f>
        <v>721.31</v>
      </c>
      <c r="K33" s="188">
        <v>204.61</v>
      </c>
      <c r="L33" s="189"/>
      <c r="M33" s="189"/>
      <c r="N33" s="93"/>
      <c r="O33" s="95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184"/>
      <c r="B34" s="171" t="s">
        <v>90</v>
      </c>
      <c r="C34" s="177">
        <v>1273.0</v>
      </c>
      <c r="D34" s="172"/>
      <c r="E34" s="95"/>
      <c r="F34" s="93"/>
      <c r="G34" s="95"/>
      <c r="H34" s="92"/>
      <c r="I34" s="128">
        <v>1497.0</v>
      </c>
      <c r="J34" s="92"/>
      <c r="K34" s="92"/>
      <c r="L34" s="93"/>
      <c r="M34" s="93"/>
      <c r="N34" s="93"/>
      <c r="O34" s="95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184"/>
      <c r="B35" s="171" t="s">
        <v>91</v>
      </c>
      <c r="C35" s="172"/>
      <c r="D35" s="172"/>
      <c r="E35" s="172"/>
      <c r="F35" s="93"/>
      <c r="G35" s="95"/>
      <c r="H35" s="92"/>
      <c r="I35" s="92"/>
      <c r="J35" s="128">
        <v>184.0</v>
      </c>
      <c r="K35" s="128">
        <f>74.33+90.3</f>
        <v>164.63</v>
      </c>
      <c r="L35" s="93"/>
      <c r="M35" s="93"/>
      <c r="N35" s="93"/>
      <c r="O35" s="95"/>
      <c r="P35" s="190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184"/>
      <c r="B36" s="176" t="s">
        <v>92</v>
      </c>
      <c r="C36" s="172">
        <f>90+607+151+700+136+91</f>
        <v>1775</v>
      </c>
      <c r="D36" s="172">
        <f>1537</f>
        <v>1537</v>
      </c>
      <c r="E36" s="172">
        <v>2500.0</v>
      </c>
      <c r="F36" s="93"/>
      <c r="G36" s="95"/>
      <c r="H36" s="92"/>
      <c r="I36" s="92"/>
      <c r="J36" s="92"/>
      <c r="K36" s="92"/>
      <c r="L36" s="93"/>
      <c r="M36" s="93"/>
      <c r="N36" s="93"/>
      <c r="O36" s="95"/>
      <c r="P36" s="44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184"/>
      <c r="B37" s="110" t="s">
        <v>38</v>
      </c>
      <c r="C37" s="191">
        <f t="shared" ref="C37:O37" si="6">SUM(C33:C36)</f>
        <v>4057</v>
      </c>
      <c r="D37" s="191">
        <f t="shared" si="6"/>
        <v>2874.12</v>
      </c>
      <c r="E37" s="191">
        <f t="shared" si="6"/>
        <v>4048</v>
      </c>
      <c r="F37" s="191">
        <f t="shared" si="6"/>
        <v>711</v>
      </c>
      <c r="G37" s="191">
        <f t="shared" si="6"/>
        <v>0</v>
      </c>
      <c r="H37" s="191">
        <f t="shared" si="6"/>
        <v>903.24</v>
      </c>
      <c r="I37" s="191">
        <f t="shared" si="6"/>
        <v>2558.17</v>
      </c>
      <c r="J37" s="191">
        <f t="shared" si="6"/>
        <v>905.31</v>
      </c>
      <c r="K37" s="191">
        <f t="shared" si="6"/>
        <v>369.24</v>
      </c>
      <c r="L37" s="191">
        <f t="shared" si="6"/>
        <v>0</v>
      </c>
      <c r="M37" s="191">
        <f t="shared" si="6"/>
        <v>0</v>
      </c>
      <c r="N37" s="191">
        <f t="shared" si="6"/>
        <v>0</v>
      </c>
      <c r="O37" s="191">
        <f t="shared" si="6"/>
        <v>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184"/>
      <c r="B38" s="192" t="s">
        <v>93</v>
      </c>
      <c r="C38" s="193">
        <v>421.0</v>
      </c>
      <c r="D38" s="193">
        <f>81.38+153.35+185.27</f>
        <v>420</v>
      </c>
      <c r="E38" s="193">
        <v>350.0</v>
      </c>
      <c r="F38" s="194">
        <v>50.0</v>
      </c>
      <c r="G38" s="194">
        <v>388.0</v>
      </c>
      <c r="H38" s="193">
        <f>110+110.55</f>
        <v>220.55</v>
      </c>
      <c r="I38" s="194">
        <f>126.4+300+223.24+47.42+67.57+256+239+94.18</f>
        <v>1353.81</v>
      </c>
      <c r="J38" s="193">
        <f>46.04+210+142.88+158.38+497+110+38+135</f>
        <v>1337.3</v>
      </c>
      <c r="K38" s="193">
        <f>300+0</f>
        <v>300</v>
      </c>
      <c r="L38" s="193"/>
      <c r="M38" s="193"/>
      <c r="N38" s="194"/>
      <c r="O38" s="193"/>
      <c r="P38" s="44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184"/>
      <c r="B39" s="195" t="s">
        <v>95</v>
      </c>
      <c r="C39" s="56">
        <v>532.0</v>
      </c>
      <c r="D39" s="56"/>
      <c r="E39" s="56"/>
      <c r="F39" s="56"/>
      <c r="G39" s="196">
        <v>1100.0</v>
      </c>
      <c r="H39" s="196">
        <v>523.0</v>
      </c>
      <c r="I39" s="196">
        <v>685.62</v>
      </c>
      <c r="J39" s="196">
        <v>89.0</v>
      </c>
      <c r="K39" s="56"/>
      <c r="L39" s="56"/>
      <c r="M39" s="56"/>
      <c r="N39" s="56"/>
      <c r="O39" s="56"/>
      <c r="P39" s="44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184"/>
      <c r="B40" s="197" t="s">
        <v>96</v>
      </c>
      <c r="C40" s="198">
        <v>823.0</v>
      </c>
      <c r="D40" s="198"/>
      <c r="E40" s="198">
        <v>720.0</v>
      </c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184"/>
      <c r="B41" s="199" t="s">
        <v>97</v>
      </c>
      <c r="C41" s="200">
        <v>15.0</v>
      </c>
      <c r="D41" s="201">
        <v>360.0</v>
      </c>
      <c r="E41" s="200"/>
      <c r="F41" s="202">
        <v>907.0</v>
      </c>
      <c r="G41" s="201"/>
      <c r="H41" s="201"/>
      <c r="I41" s="201"/>
      <c r="J41" s="201"/>
      <c r="K41" s="201"/>
      <c r="L41" s="201"/>
      <c r="M41" s="201"/>
      <c r="N41" s="201"/>
      <c r="O41" s="20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184"/>
      <c r="B42" s="199" t="s">
        <v>98</v>
      </c>
      <c r="C42" s="198"/>
      <c r="D42" s="200"/>
      <c r="E42" s="198">
        <v>535.0</v>
      </c>
      <c r="F42" s="203">
        <v>80.0</v>
      </c>
      <c r="G42" s="202">
        <v>200.0</v>
      </c>
      <c r="H42" s="200"/>
      <c r="I42" s="200"/>
      <c r="J42" s="200"/>
      <c r="K42" s="200"/>
      <c r="L42" s="200"/>
      <c r="M42" s="200"/>
      <c r="N42" s="200"/>
      <c r="O42" s="200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184"/>
      <c r="B43" s="197" t="s">
        <v>99</v>
      </c>
      <c r="C43" s="204"/>
      <c r="D43" s="198">
        <v>1564.68</v>
      </c>
      <c r="E43" s="204">
        <v>1123.0</v>
      </c>
      <c r="F43" s="205">
        <v>100.0</v>
      </c>
      <c r="G43" s="203">
        <v>100.0</v>
      </c>
      <c r="H43" s="203">
        <v>481.62</v>
      </c>
      <c r="I43" s="203">
        <v>1047.98</v>
      </c>
      <c r="J43" s="203">
        <v>1460.46</v>
      </c>
      <c r="K43" s="198"/>
      <c r="L43" s="198"/>
      <c r="M43" s="198"/>
      <c r="N43" s="198"/>
      <c r="O43" s="19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184"/>
      <c r="B44" s="207" t="s">
        <v>101</v>
      </c>
      <c r="C44" s="204">
        <v>270.0</v>
      </c>
      <c r="D44" s="204">
        <v>875.68</v>
      </c>
      <c r="E44" s="204">
        <v>228.0</v>
      </c>
      <c r="F44" s="205">
        <f>578+505</f>
        <v>1083</v>
      </c>
      <c r="G44" s="205">
        <v>217.0</v>
      </c>
      <c r="H44" s="205">
        <v>147.3</v>
      </c>
      <c r="I44" s="205">
        <v>676.69</v>
      </c>
      <c r="J44" s="205">
        <v>182.0</v>
      </c>
      <c r="K44" s="204"/>
      <c r="L44" s="204"/>
      <c r="M44" s="204"/>
      <c r="N44" s="205"/>
      <c r="O44" s="20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184"/>
      <c r="B45" s="208" t="s">
        <v>102</v>
      </c>
      <c r="C45" s="209">
        <f>SUM(C38,C39,C40,C41,C42,C43,C44)</f>
        <v>2061</v>
      </c>
      <c r="D45" s="209">
        <f t="shared" ref="D45:M45" si="7">SUM(D38:D44)</f>
        <v>3220.36</v>
      </c>
      <c r="E45" s="209">
        <f t="shared" si="7"/>
        <v>2956</v>
      </c>
      <c r="F45" s="209">
        <f t="shared" si="7"/>
        <v>2220</v>
      </c>
      <c r="G45" s="209">
        <f t="shared" si="7"/>
        <v>2005</v>
      </c>
      <c r="H45" s="209">
        <f t="shared" si="7"/>
        <v>1372.47</v>
      </c>
      <c r="I45" s="209">
        <f t="shared" si="7"/>
        <v>3764.1</v>
      </c>
      <c r="J45" s="209">
        <f t="shared" si="7"/>
        <v>3068.76</v>
      </c>
      <c r="K45" s="209">
        <f t="shared" si="7"/>
        <v>300</v>
      </c>
      <c r="L45" s="210">
        <f t="shared" si="7"/>
        <v>0</v>
      </c>
      <c r="M45" s="210">
        <f t="shared" si="7"/>
        <v>0</v>
      </c>
      <c r="N45" s="210"/>
      <c r="O45" s="211">
        <f>SUM(C45:N45)</f>
        <v>20967.69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184"/>
      <c r="B46" s="212" t="s">
        <v>105</v>
      </c>
      <c r="C46" s="198"/>
      <c r="D46" s="198">
        <v>2500.0</v>
      </c>
      <c r="E46" s="198">
        <v>1000.0</v>
      </c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184"/>
      <c r="B47" s="213" t="s">
        <v>106</v>
      </c>
      <c r="C47" s="214"/>
      <c r="D47" s="214"/>
      <c r="E47" s="214">
        <v>3845.0</v>
      </c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184"/>
      <c r="B48" s="216" t="s">
        <v>108</v>
      </c>
      <c r="C48" s="200"/>
      <c r="D48" s="200"/>
      <c r="E48" s="200">
        <v>1439.0</v>
      </c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184"/>
      <c r="B49" s="208" t="s">
        <v>109</v>
      </c>
      <c r="C49" s="217"/>
      <c r="D49" s="217">
        <f t="shared" ref="D49:E49" si="8">SUM(D46:D48)</f>
        <v>2500</v>
      </c>
      <c r="E49" s="217">
        <f t="shared" si="8"/>
        <v>6284</v>
      </c>
      <c r="F49" s="217"/>
      <c r="G49" s="217"/>
      <c r="H49" s="217"/>
      <c r="I49" s="217"/>
      <c r="J49" s="217">
        <f>SUM(J46:J48)</f>
        <v>0</v>
      </c>
      <c r="K49" s="217"/>
      <c r="L49" s="217"/>
      <c r="M49" s="217">
        <f>SUM(M46:M48)</f>
        <v>0</v>
      </c>
      <c r="N49" s="217"/>
      <c r="O49" s="217">
        <f>SUM(C49:N49)</f>
        <v>8784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184"/>
      <c r="B50" s="122" t="s">
        <v>111</v>
      </c>
      <c r="C50" s="123" t="s">
        <v>20</v>
      </c>
      <c r="D50" s="123" t="s">
        <v>21</v>
      </c>
      <c r="E50" s="123" t="s">
        <v>22</v>
      </c>
      <c r="F50" s="86" t="s">
        <v>23</v>
      </c>
      <c r="G50" s="86" t="s">
        <v>24</v>
      </c>
      <c r="H50" s="86" t="s">
        <v>25</v>
      </c>
      <c r="I50" s="86" t="s">
        <v>26</v>
      </c>
      <c r="J50" s="86" t="s">
        <v>27</v>
      </c>
      <c r="K50" s="86" t="s">
        <v>28</v>
      </c>
      <c r="L50" s="86" t="s">
        <v>29</v>
      </c>
      <c r="M50" s="86" t="s">
        <v>30</v>
      </c>
      <c r="N50" s="86" t="s">
        <v>31</v>
      </c>
      <c r="O50" s="86" t="s">
        <v>32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184"/>
      <c r="B51" s="137" t="s">
        <v>112</v>
      </c>
      <c r="C51" s="218">
        <v>2972.0</v>
      </c>
      <c r="D51" s="177">
        <v>2767.0</v>
      </c>
      <c r="E51" s="128">
        <v>3686.25</v>
      </c>
      <c r="F51" s="128">
        <v>3530.59</v>
      </c>
      <c r="G51" s="172">
        <v>2157.53</v>
      </c>
      <c r="H51" s="128">
        <v>954.14</v>
      </c>
      <c r="I51" s="128">
        <v>2525.27</v>
      </c>
      <c r="J51" s="128">
        <v>2588.0</v>
      </c>
      <c r="K51" s="92"/>
      <c r="L51" s="93"/>
      <c r="M51" s="93"/>
      <c r="N51" s="128"/>
      <c r="O51" s="9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184"/>
      <c r="B52" s="137" t="s">
        <v>114</v>
      </c>
      <c r="C52" s="89">
        <v>1921.0</v>
      </c>
      <c r="D52" s="89">
        <v>1921.0</v>
      </c>
      <c r="E52" s="89">
        <v>1921.0</v>
      </c>
      <c r="F52" s="89">
        <v>1921.0</v>
      </c>
      <c r="G52" s="89">
        <v>1921.0</v>
      </c>
      <c r="H52" s="89">
        <v>1921.0</v>
      </c>
      <c r="I52" s="89">
        <v>1921.0</v>
      </c>
      <c r="J52" s="89">
        <v>1921.0</v>
      </c>
      <c r="K52" s="92"/>
      <c r="L52" s="92"/>
      <c r="M52" s="92"/>
      <c r="N52" s="92"/>
      <c r="O52" s="95"/>
      <c r="P52" s="219"/>
      <c r="Q52" s="219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184"/>
      <c r="B53" s="88" t="s">
        <v>116</v>
      </c>
      <c r="C53" s="103"/>
      <c r="D53" s="103"/>
      <c r="E53" s="103"/>
      <c r="F53" s="89"/>
      <c r="G53" s="104"/>
      <c r="H53" s="104"/>
      <c r="I53" s="104"/>
      <c r="J53" s="104"/>
      <c r="K53" s="104"/>
      <c r="L53" s="104"/>
      <c r="M53" s="104"/>
      <c r="N53" s="92"/>
      <c r="O53" s="9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184"/>
      <c r="B54" s="88" t="s">
        <v>117</v>
      </c>
      <c r="C54" s="101">
        <v>735.0</v>
      </c>
      <c r="D54" s="101">
        <v>788.0</v>
      </c>
      <c r="E54" s="136">
        <v>920.0</v>
      </c>
      <c r="F54" s="136">
        <v>920.0</v>
      </c>
      <c r="G54" s="136">
        <v>920.0</v>
      </c>
      <c r="H54" s="136">
        <v>920.0</v>
      </c>
      <c r="I54" s="136">
        <v>920.0</v>
      </c>
      <c r="J54" s="136">
        <v>920.0</v>
      </c>
      <c r="K54" s="136"/>
      <c r="L54" s="136"/>
      <c r="M54" s="136"/>
      <c r="N54" s="92"/>
      <c r="O54" s="9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184"/>
      <c r="B55" s="173" t="s">
        <v>118</v>
      </c>
      <c r="C55" s="220">
        <v>62.0</v>
      </c>
      <c r="D55" s="220">
        <v>81.0</v>
      </c>
      <c r="E55" s="114">
        <v>80.0</v>
      </c>
      <c r="F55" s="114">
        <v>80.0</v>
      </c>
      <c r="G55" s="114">
        <v>80.0</v>
      </c>
      <c r="H55" s="114">
        <v>80.0</v>
      </c>
      <c r="I55" s="114">
        <v>80.0</v>
      </c>
      <c r="J55" s="114">
        <v>80.0</v>
      </c>
      <c r="K55" s="92"/>
      <c r="L55" s="93"/>
      <c r="M55" s="92"/>
      <c r="N55" s="92"/>
      <c r="O55" s="9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184"/>
      <c r="B56" s="110" t="s">
        <v>38</v>
      </c>
      <c r="C56" s="191">
        <f t="shared" ref="C56:O56" si="9">SUM(C51,C52,C53,C54,C55)</f>
        <v>5690</v>
      </c>
      <c r="D56" s="191">
        <f t="shared" si="9"/>
        <v>5557</v>
      </c>
      <c r="E56" s="191">
        <f t="shared" si="9"/>
        <v>6607.25</v>
      </c>
      <c r="F56" s="191">
        <f t="shared" si="9"/>
        <v>6451.59</v>
      </c>
      <c r="G56" s="191">
        <f t="shared" si="9"/>
        <v>5078.53</v>
      </c>
      <c r="H56" s="191">
        <f t="shared" si="9"/>
        <v>3875.14</v>
      </c>
      <c r="I56" s="191">
        <f t="shared" si="9"/>
        <v>5446.27</v>
      </c>
      <c r="J56" s="191">
        <f t="shared" si="9"/>
        <v>5509</v>
      </c>
      <c r="K56" s="191">
        <f t="shared" si="9"/>
        <v>0</v>
      </c>
      <c r="L56" s="191">
        <f t="shared" si="9"/>
        <v>0</v>
      </c>
      <c r="M56" s="191">
        <f t="shared" si="9"/>
        <v>0</v>
      </c>
      <c r="N56" s="191">
        <f t="shared" si="9"/>
        <v>0</v>
      </c>
      <c r="O56" s="191">
        <f t="shared" si="9"/>
        <v>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184"/>
      <c r="B57" s="221" t="s">
        <v>119</v>
      </c>
      <c r="C57" s="121">
        <f t="shared" ref="C57:O57" si="10">SUM(C12,C31,C37,C45,C49,C56)</f>
        <v>29371.85272</v>
      </c>
      <c r="D57" s="121">
        <f t="shared" si="10"/>
        <v>39303.60272</v>
      </c>
      <c r="E57" s="121">
        <f t="shared" si="10"/>
        <v>35329.15272</v>
      </c>
      <c r="F57" s="121">
        <f t="shared" si="10"/>
        <v>26336.49272</v>
      </c>
      <c r="G57" s="121">
        <f t="shared" si="10"/>
        <v>21462.12272</v>
      </c>
      <c r="H57" s="121">
        <f t="shared" si="10"/>
        <v>24249.37272</v>
      </c>
      <c r="I57" s="121">
        <f t="shared" si="10"/>
        <v>27350.2356</v>
      </c>
      <c r="J57" s="121">
        <f t="shared" si="10"/>
        <v>27413.2556</v>
      </c>
      <c r="K57" s="121">
        <f t="shared" si="10"/>
        <v>2763.045602</v>
      </c>
      <c r="L57" s="121">
        <f t="shared" si="10"/>
        <v>1160.815602</v>
      </c>
      <c r="M57" s="121">
        <f t="shared" si="10"/>
        <v>1160.815602</v>
      </c>
      <c r="N57" s="121">
        <f t="shared" si="10"/>
        <v>1160.815602</v>
      </c>
      <c r="O57" s="121">
        <f t="shared" si="10"/>
        <v>176420.7199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184"/>
      <c r="B58" s="153"/>
      <c r="O58" s="153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184"/>
      <c r="B59" s="219"/>
      <c r="O59" s="21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184"/>
      <c r="B60" s="22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184"/>
      <c r="B61" s="224"/>
      <c r="O61" s="15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184"/>
      <c r="B62" s="224"/>
      <c r="C62" s="161"/>
      <c r="D62" s="161"/>
      <c r="E62" s="142"/>
      <c r="F62" s="153"/>
      <c r="G62" s="161"/>
      <c r="H62" s="161"/>
      <c r="I62" s="161"/>
      <c r="J62" s="161"/>
      <c r="K62" s="161"/>
      <c r="L62" s="161"/>
      <c r="M62" s="161"/>
      <c r="N62" s="161"/>
      <c r="O62" s="153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184"/>
      <c r="B63" s="224"/>
      <c r="C63" s="161"/>
      <c r="D63" s="161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184"/>
      <c r="B64" s="224"/>
      <c r="C64" s="161"/>
      <c r="D64" s="161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184"/>
      <c r="B65" s="224"/>
      <c r="C65" s="161"/>
      <c r="D65" s="161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184"/>
      <c r="B66" s="224"/>
      <c r="C66" s="161"/>
      <c r="D66" s="161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184"/>
      <c r="B67" s="224"/>
      <c r="C67" s="161"/>
      <c r="D67" s="161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184"/>
      <c r="B68" s="224"/>
      <c r="C68" s="161"/>
      <c r="D68" s="161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184"/>
      <c r="B69" s="224"/>
      <c r="C69" s="161"/>
      <c r="D69" s="161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184"/>
      <c r="B70" s="224"/>
      <c r="C70" s="161"/>
      <c r="D70" s="161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184"/>
      <c r="B71" s="224"/>
      <c r="C71" s="161"/>
      <c r="D71" s="161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184"/>
      <c r="B72" s="224"/>
      <c r="C72" s="161"/>
      <c r="D72" s="161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184"/>
      <c r="B73" s="224"/>
      <c r="C73" s="161"/>
      <c r="D73" s="161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184"/>
      <c r="B74" s="224"/>
      <c r="C74" s="161"/>
      <c r="D74" s="161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184"/>
      <c r="B75" s="224"/>
      <c r="C75" s="161"/>
      <c r="D75" s="161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184"/>
      <c r="B76" s="224"/>
      <c r="C76" s="161"/>
      <c r="D76" s="161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184"/>
      <c r="B77" s="224"/>
      <c r="C77" s="161"/>
      <c r="D77" s="161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184"/>
      <c r="B78" s="224"/>
      <c r="C78" s="161"/>
      <c r="D78" s="161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184"/>
      <c r="B79" s="224"/>
      <c r="C79" s="161"/>
      <c r="D79" s="161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184"/>
      <c r="B80" s="224"/>
      <c r="C80" s="161"/>
      <c r="D80" s="161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184"/>
      <c r="B81" s="224"/>
      <c r="C81" s="161"/>
      <c r="D81" s="161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184"/>
      <c r="B82" s="224"/>
      <c r="C82" s="161"/>
      <c r="D82" s="161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184"/>
      <c r="B83" s="224"/>
      <c r="C83" s="161"/>
      <c r="D83" s="161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184"/>
      <c r="B84" s="224"/>
      <c r="C84" s="161"/>
      <c r="D84" s="161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184"/>
      <c r="B85" s="224"/>
      <c r="C85" s="161"/>
      <c r="D85" s="161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184"/>
      <c r="B86" s="224"/>
      <c r="C86" s="161"/>
      <c r="D86" s="161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184"/>
      <c r="B87" s="224"/>
      <c r="C87" s="161"/>
      <c r="D87" s="161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184"/>
      <c r="B88" s="224"/>
      <c r="C88" s="161"/>
      <c r="D88" s="161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184"/>
      <c r="B89" s="224"/>
      <c r="C89" s="161"/>
      <c r="D89" s="161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184"/>
      <c r="B90" s="224"/>
      <c r="C90" s="161"/>
      <c r="D90" s="161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184"/>
      <c r="B91" s="224"/>
      <c r="C91" s="161"/>
      <c r="D91" s="161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184"/>
      <c r="B92" s="224"/>
      <c r="C92" s="161"/>
      <c r="D92" s="161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184"/>
      <c r="B93" s="224"/>
      <c r="C93" s="161"/>
      <c r="D93" s="161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184"/>
      <c r="B94" s="224"/>
      <c r="C94" s="161"/>
      <c r="D94" s="161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184"/>
      <c r="B95" s="224"/>
      <c r="C95" s="161"/>
      <c r="D95" s="161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184"/>
      <c r="B96" s="224"/>
      <c r="C96" s="161"/>
      <c r="D96" s="161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184"/>
      <c r="B97" s="224"/>
      <c r="C97" s="161"/>
      <c r="D97" s="161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184"/>
      <c r="B98" s="224"/>
      <c r="C98" s="161"/>
      <c r="D98" s="161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184"/>
      <c r="B99" s="224"/>
      <c r="C99" s="161"/>
      <c r="D99" s="161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184"/>
      <c r="B100" s="224"/>
      <c r="C100" s="161"/>
      <c r="D100" s="161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184"/>
      <c r="B101" s="224"/>
      <c r="C101" s="161"/>
      <c r="D101" s="161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184"/>
      <c r="B102" s="224"/>
      <c r="C102" s="161"/>
      <c r="D102" s="161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184"/>
      <c r="B103" s="224"/>
      <c r="C103" s="161"/>
      <c r="D103" s="161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184"/>
      <c r="B104" s="224"/>
      <c r="C104" s="161"/>
      <c r="D104" s="161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184"/>
      <c r="B105" s="224"/>
      <c r="C105" s="161"/>
      <c r="D105" s="161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184"/>
      <c r="B106" s="224"/>
      <c r="C106" s="161"/>
      <c r="D106" s="161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184"/>
      <c r="B107" s="224"/>
      <c r="C107" s="161"/>
      <c r="D107" s="161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184"/>
      <c r="B108" s="224"/>
      <c r="C108" s="161"/>
      <c r="D108" s="161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184"/>
      <c r="B109" s="224"/>
      <c r="C109" s="161"/>
      <c r="D109" s="161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184"/>
      <c r="B110" s="224"/>
      <c r="C110" s="161"/>
      <c r="D110" s="161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184"/>
      <c r="B111" s="224"/>
      <c r="C111" s="161"/>
      <c r="D111" s="161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184"/>
      <c r="B112" s="224"/>
      <c r="C112" s="161"/>
      <c r="D112" s="161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184"/>
      <c r="B113" s="224"/>
      <c r="C113" s="161"/>
      <c r="D113" s="161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184"/>
      <c r="B114" s="224"/>
      <c r="C114" s="161"/>
      <c r="D114" s="161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184"/>
      <c r="B115" s="224"/>
      <c r="C115" s="161"/>
      <c r="D115" s="161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184"/>
      <c r="B116" s="224"/>
      <c r="C116" s="161"/>
      <c r="D116" s="161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184"/>
      <c r="B117" s="224"/>
      <c r="C117" s="161"/>
      <c r="D117" s="161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184"/>
      <c r="B118" s="224"/>
      <c r="C118" s="161"/>
      <c r="D118" s="161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184"/>
      <c r="B119" s="224"/>
      <c r="C119" s="161"/>
      <c r="D119" s="161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184"/>
      <c r="B120" s="224"/>
      <c r="C120" s="161"/>
      <c r="D120" s="161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184"/>
      <c r="B121" s="224"/>
      <c r="C121" s="161"/>
      <c r="D121" s="161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184"/>
      <c r="B122" s="224"/>
      <c r="C122" s="161"/>
      <c r="D122" s="161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184"/>
      <c r="B123" s="224"/>
      <c r="C123" s="161"/>
      <c r="D123" s="161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184"/>
      <c r="B124" s="224"/>
      <c r="C124" s="161"/>
      <c r="D124" s="161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184"/>
      <c r="B125" s="224"/>
      <c r="C125" s="161"/>
      <c r="D125" s="161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184"/>
      <c r="B126" s="224"/>
      <c r="C126" s="161"/>
      <c r="D126" s="161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184"/>
      <c r="B127" s="224"/>
      <c r="C127" s="161"/>
      <c r="D127" s="161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184"/>
      <c r="B128" s="224"/>
      <c r="C128" s="161"/>
      <c r="D128" s="161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184"/>
      <c r="B129" s="224"/>
      <c r="C129" s="161"/>
      <c r="D129" s="161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184"/>
      <c r="B130" s="224"/>
      <c r="C130" s="161"/>
      <c r="D130" s="161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184"/>
      <c r="B131" s="224"/>
      <c r="C131" s="161"/>
      <c r="D131" s="161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184"/>
      <c r="B132" s="224"/>
      <c r="C132" s="161"/>
      <c r="D132" s="161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184"/>
      <c r="B133" s="224"/>
      <c r="C133" s="161"/>
      <c r="D133" s="161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184"/>
      <c r="B134" s="224"/>
      <c r="C134" s="161"/>
      <c r="D134" s="161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184"/>
      <c r="B135" s="224"/>
      <c r="C135" s="161"/>
      <c r="D135" s="161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184"/>
      <c r="B136" s="224"/>
      <c r="C136" s="161"/>
      <c r="D136" s="161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184"/>
      <c r="B137" s="224"/>
      <c r="C137" s="161"/>
      <c r="D137" s="161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184"/>
      <c r="B138" s="224"/>
      <c r="C138" s="161"/>
      <c r="D138" s="161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184"/>
      <c r="B139" s="224"/>
      <c r="C139" s="161"/>
      <c r="D139" s="161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184"/>
      <c r="B140" s="224"/>
      <c r="C140" s="161"/>
      <c r="D140" s="161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184"/>
      <c r="B141" s="224"/>
      <c r="C141" s="161"/>
      <c r="D141" s="161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184"/>
      <c r="B142" s="224"/>
      <c r="C142" s="161"/>
      <c r="D142" s="161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184"/>
      <c r="B143" s="224"/>
      <c r="C143" s="161"/>
      <c r="D143" s="161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184"/>
      <c r="B144" s="224"/>
      <c r="C144" s="161"/>
      <c r="D144" s="161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184"/>
      <c r="B145" s="224"/>
      <c r="C145" s="161"/>
      <c r="D145" s="161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184"/>
      <c r="B146" s="224"/>
      <c r="C146" s="161"/>
      <c r="D146" s="161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184"/>
      <c r="B147" s="224"/>
      <c r="C147" s="161"/>
      <c r="D147" s="161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184"/>
      <c r="B148" s="224"/>
      <c r="C148" s="161"/>
      <c r="D148" s="161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184"/>
      <c r="B149" s="224"/>
      <c r="C149" s="161"/>
      <c r="D149" s="161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184"/>
      <c r="B150" s="224"/>
      <c r="C150" s="161"/>
      <c r="D150" s="161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184"/>
      <c r="B151" s="224"/>
      <c r="C151" s="161"/>
      <c r="D151" s="161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184"/>
      <c r="B152" s="224"/>
      <c r="C152" s="161"/>
      <c r="D152" s="161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184"/>
      <c r="B153" s="224"/>
      <c r="C153" s="161"/>
      <c r="D153" s="161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184"/>
      <c r="B154" s="224"/>
      <c r="C154" s="161"/>
      <c r="D154" s="161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184"/>
      <c r="B155" s="224"/>
      <c r="C155" s="161"/>
      <c r="D155" s="161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184"/>
      <c r="B156" s="224"/>
      <c r="C156" s="161"/>
      <c r="D156" s="161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184"/>
      <c r="B157" s="224"/>
      <c r="C157" s="161"/>
      <c r="D157" s="161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184"/>
      <c r="B158" s="224"/>
      <c r="C158" s="161"/>
      <c r="D158" s="161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184"/>
      <c r="B159" s="224"/>
      <c r="C159" s="161"/>
      <c r="D159" s="161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184"/>
      <c r="B160" s="224"/>
      <c r="C160" s="161"/>
      <c r="D160" s="161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184"/>
      <c r="B161" s="224"/>
      <c r="C161" s="161"/>
      <c r="D161" s="161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184"/>
      <c r="B162" s="224"/>
      <c r="C162" s="161"/>
      <c r="D162" s="161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184"/>
      <c r="B163" s="224"/>
      <c r="C163" s="161"/>
      <c r="D163" s="161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184"/>
      <c r="B164" s="224"/>
      <c r="C164" s="161"/>
      <c r="D164" s="161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184"/>
      <c r="B165" s="224"/>
      <c r="C165" s="161"/>
      <c r="D165" s="161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184"/>
      <c r="B166" s="224"/>
      <c r="C166" s="161"/>
      <c r="D166" s="161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184"/>
      <c r="B167" s="224"/>
      <c r="C167" s="161"/>
      <c r="D167" s="161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184"/>
      <c r="B168" s="224"/>
      <c r="C168" s="161"/>
      <c r="D168" s="161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184"/>
      <c r="B169" s="224"/>
      <c r="C169" s="161"/>
      <c r="D169" s="161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184"/>
      <c r="B170" s="224"/>
      <c r="C170" s="161"/>
      <c r="D170" s="161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184"/>
      <c r="B171" s="224"/>
      <c r="C171" s="161"/>
      <c r="D171" s="161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184"/>
      <c r="B172" s="224"/>
      <c r="C172" s="161"/>
      <c r="D172" s="161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184"/>
      <c r="B173" s="224"/>
      <c r="C173" s="161"/>
      <c r="D173" s="161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184"/>
      <c r="B174" s="224"/>
      <c r="C174" s="161"/>
      <c r="D174" s="161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184"/>
      <c r="B175" s="224"/>
      <c r="C175" s="161"/>
      <c r="D175" s="161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184"/>
      <c r="B176" s="224"/>
      <c r="C176" s="161"/>
      <c r="D176" s="161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184"/>
      <c r="B177" s="224"/>
      <c r="C177" s="161"/>
      <c r="D177" s="161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184"/>
      <c r="B178" s="224"/>
      <c r="C178" s="161"/>
      <c r="D178" s="161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184"/>
      <c r="B179" s="224"/>
      <c r="C179" s="161"/>
      <c r="D179" s="161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184"/>
      <c r="B180" s="224"/>
      <c r="C180" s="161"/>
      <c r="D180" s="161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184"/>
      <c r="B181" s="224"/>
      <c r="C181" s="161"/>
      <c r="D181" s="161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184"/>
      <c r="B182" s="224"/>
      <c r="C182" s="161"/>
      <c r="D182" s="161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184"/>
      <c r="B183" s="224"/>
      <c r="C183" s="161"/>
      <c r="D183" s="161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184"/>
      <c r="B184" s="224"/>
      <c r="C184" s="161"/>
      <c r="D184" s="161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184"/>
      <c r="B185" s="224"/>
      <c r="C185" s="161"/>
      <c r="D185" s="161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184"/>
      <c r="B186" s="224"/>
      <c r="C186" s="161"/>
      <c r="D186" s="161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184"/>
      <c r="B187" s="224"/>
      <c r="C187" s="161"/>
      <c r="D187" s="161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184"/>
      <c r="B188" s="224"/>
      <c r="C188" s="161"/>
      <c r="D188" s="161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184"/>
      <c r="B189" s="224"/>
      <c r="C189" s="161"/>
      <c r="D189" s="161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184"/>
      <c r="B190" s="224"/>
      <c r="C190" s="161"/>
      <c r="D190" s="161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184"/>
      <c r="B191" s="224"/>
      <c r="C191" s="161"/>
      <c r="D191" s="161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184"/>
      <c r="B192" s="224"/>
      <c r="C192" s="161"/>
      <c r="D192" s="161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184"/>
      <c r="B193" s="224"/>
      <c r="C193" s="161"/>
      <c r="D193" s="161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184"/>
      <c r="B194" s="224"/>
      <c r="C194" s="161"/>
      <c r="D194" s="161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184"/>
      <c r="B195" s="224"/>
      <c r="C195" s="161"/>
      <c r="D195" s="161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184"/>
      <c r="B196" s="224"/>
      <c r="C196" s="161"/>
      <c r="D196" s="161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184"/>
      <c r="B197" s="224"/>
      <c r="C197" s="161"/>
      <c r="D197" s="161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184"/>
      <c r="B198" s="224"/>
      <c r="C198" s="161"/>
      <c r="D198" s="161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184"/>
      <c r="B199" s="224"/>
      <c r="C199" s="161"/>
      <c r="D199" s="161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184"/>
      <c r="B200" s="224"/>
      <c r="C200" s="161"/>
      <c r="D200" s="161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184"/>
      <c r="B201" s="224"/>
      <c r="C201" s="161"/>
      <c r="D201" s="161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184"/>
      <c r="B202" s="224"/>
      <c r="C202" s="161"/>
      <c r="D202" s="161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184"/>
      <c r="B203" s="224"/>
      <c r="C203" s="161"/>
      <c r="D203" s="161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184"/>
      <c r="B204" s="224"/>
      <c r="C204" s="161"/>
      <c r="D204" s="161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184"/>
      <c r="B205" s="224"/>
      <c r="C205" s="161"/>
      <c r="D205" s="161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184"/>
      <c r="B206" s="224"/>
      <c r="C206" s="161"/>
      <c r="D206" s="161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184"/>
      <c r="B207" s="224"/>
      <c r="C207" s="161"/>
      <c r="D207" s="161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184"/>
      <c r="B208" s="224"/>
      <c r="C208" s="161"/>
      <c r="D208" s="161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184"/>
      <c r="B209" s="224"/>
      <c r="C209" s="161"/>
      <c r="D209" s="161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184"/>
      <c r="B210" s="224"/>
      <c r="C210" s="161"/>
      <c r="D210" s="161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184"/>
      <c r="B211" s="224"/>
      <c r="C211" s="161"/>
      <c r="D211" s="161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184"/>
      <c r="B212" s="224"/>
      <c r="C212" s="161"/>
      <c r="D212" s="161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184"/>
      <c r="B213" s="224"/>
      <c r="C213" s="161"/>
      <c r="D213" s="161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184"/>
      <c r="B214" s="224"/>
      <c r="C214" s="161"/>
      <c r="D214" s="161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184"/>
      <c r="B215" s="224"/>
      <c r="C215" s="161"/>
      <c r="D215" s="161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184"/>
      <c r="B216" s="224"/>
      <c r="C216" s="161"/>
      <c r="D216" s="161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184"/>
      <c r="B217" s="224"/>
      <c r="C217" s="161"/>
      <c r="D217" s="161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184"/>
      <c r="B218" s="224"/>
      <c r="C218" s="161"/>
      <c r="D218" s="161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184"/>
      <c r="B219" s="224"/>
      <c r="C219" s="161"/>
      <c r="D219" s="161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184"/>
      <c r="B220" s="224"/>
      <c r="C220" s="161"/>
      <c r="D220" s="161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184"/>
      <c r="B221" s="224"/>
      <c r="C221" s="161"/>
      <c r="D221" s="161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184"/>
      <c r="B222" s="224"/>
      <c r="C222" s="161"/>
      <c r="D222" s="161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184"/>
      <c r="B223" s="224"/>
      <c r="C223" s="161"/>
      <c r="D223" s="161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184"/>
      <c r="B224" s="224"/>
      <c r="C224" s="161"/>
      <c r="D224" s="161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184"/>
      <c r="B225" s="224"/>
      <c r="C225" s="161"/>
      <c r="D225" s="161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4.0" customHeight="1">
      <c r="A226" s="184"/>
      <c r="B226" s="224"/>
      <c r="C226" s="161"/>
      <c r="D226" s="161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4.0" customHeight="1">
      <c r="A227" s="184"/>
      <c r="B227" s="224"/>
      <c r="C227" s="161"/>
      <c r="D227" s="161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4.0" customHeight="1">
      <c r="A228" s="184"/>
      <c r="B228" s="224"/>
      <c r="C228" s="161"/>
      <c r="D228" s="161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4.0" customHeight="1">
      <c r="A229" s="184"/>
      <c r="B229" s="224"/>
      <c r="C229" s="161"/>
      <c r="D229" s="161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4.0" customHeight="1">
      <c r="A230" s="184"/>
      <c r="B230" s="224"/>
      <c r="C230" s="161"/>
      <c r="D230" s="161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4.0" customHeight="1">
      <c r="A231" s="184"/>
      <c r="B231" s="224"/>
      <c r="C231" s="161"/>
      <c r="D231" s="161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4.0" customHeight="1">
      <c r="A232" s="184"/>
      <c r="B232" s="224"/>
      <c r="C232" s="161"/>
      <c r="D232" s="161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4.0" customHeight="1">
      <c r="A233" s="184"/>
      <c r="B233" s="224"/>
      <c r="C233" s="161"/>
      <c r="D233" s="161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4.0" customHeight="1">
      <c r="A234" s="184"/>
      <c r="B234" s="224"/>
      <c r="C234" s="161"/>
      <c r="D234" s="161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4.0" customHeight="1">
      <c r="A235" s="184"/>
      <c r="B235" s="224"/>
      <c r="C235" s="161"/>
      <c r="D235" s="161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4.0" customHeight="1">
      <c r="A236" s="184"/>
      <c r="B236" s="224"/>
      <c r="C236" s="161"/>
      <c r="D236" s="161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4.0" customHeight="1">
      <c r="A237" s="184"/>
      <c r="B237" s="224"/>
      <c r="C237" s="161"/>
      <c r="D237" s="161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4.0" customHeight="1">
      <c r="A238" s="184"/>
      <c r="B238" s="224"/>
      <c r="C238" s="161"/>
      <c r="D238" s="161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4.0" customHeight="1">
      <c r="A239" s="184"/>
      <c r="B239" s="224"/>
      <c r="C239" s="161"/>
      <c r="D239" s="161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4.0" customHeight="1">
      <c r="A240" s="184"/>
      <c r="B240" s="224"/>
      <c r="C240" s="161"/>
      <c r="D240" s="161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4.0" customHeight="1">
      <c r="A241" s="184"/>
      <c r="B241" s="224"/>
      <c r="C241" s="161"/>
      <c r="D241" s="161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4.0" customHeight="1">
      <c r="A242" s="184"/>
      <c r="B242" s="224"/>
      <c r="C242" s="161"/>
      <c r="D242" s="161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4.0" customHeight="1">
      <c r="A243" s="184"/>
      <c r="B243" s="224"/>
      <c r="C243" s="161"/>
      <c r="D243" s="161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4.0" customHeight="1">
      <c r="A244" s="184"/>
      <c r="B244" s="224"/>
      <c r="C244" s="161"/>
      <c r="D244" s="161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4.0" customHeight="1">
      <c r="A245" s="184"/>
      <c r="B245" s="224"/>
      <c r="C245" s="161"/>
      <c r="D245" s="161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4.0" customHeight="1">
      <c r="A246" s="184"/>
      <c r="B246" s="224"/>
      <c r="C246" s="161"/>
      <c r="D246" s="161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4.0" customHeight="1">
      <c r="A247" s="184"/>
      <c r="B247" s="224"/>
      <c r="C247" s="161"/>
      <c r="D247" s="161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4.0" customHeight="1">
      <c r="A248" s="184"/>
      <c r="B248" s="224"/>
      <c r="C248" s="161"/>
      <c r="D248" s="161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4.0" customHeight="1">
      <c r="A249" s="184"/>
      <c r="B249" s="224"/>
      <c r="C249" s="161"/>
      <c r="D249" s="161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4.0" customHeight="1">
      <c r="A250" s="184"/>
      <c r="B250" s="224"/>
      <c r="C250" s="161"/>
      <c r="D250" s="161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4.0" customHeight="1">
      <c r="A251" s="184"/>
      <c r="B251" s="224"/>
      <c r="C251" s="161"/>
      <c r="D251" s="161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4.0" customHeight="1">
      <c r="A252" s="184"/>
      <c r="B252" s="224"/>
      <c r="C252" s="161"/>
      <c r="D252" s="161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4.0" customHeight="1">
      <c r="A253" s="184"/>
      <c r="B253" s="224"/>
      <c r="C253" s="161"/>
      <c r="D253" s="161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4.0" customHeight="1">
      <c r="A254" s="184"/>
      <c r="B254" s="224"/>
      <c r="C254" s="161"/>
      <c r="D254" s="161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4.0" customHeight="1">
      <c r="A255" s="184"/>
      <c r="B255" s="224"/>
      <c r="C255" s="161"/>
      <c r="D255" s="161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4.0" customHeight="1">
      <c r="A256" s="184"/>
      <c r="B256" s="224"/>
      <c r="C256" s="161"/>
      <c r="D256" s="161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4.0" customHeight="1">
      <c r="A257" s="184"/>
      <c r="B257" s="224"/>
      <c r="C257" s="161"/>
      <c r="D257" s="161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4.0" customHeight="1">
      <c r="A258" s="184"/>
      <c r="B258" s="224"/>
      <c r="C258" s="161"/>
      <c r="D258" s="161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4.0" customHeight="1">
      <c r="A259" s="184"/>
      <c r="B259" s="224"/>
      <c r="C259" s="161"/>
      <c r="D259" s="161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4.0" customHeight="1">
      <c r="A260" s="184"/>
      <c r="B260" s="224"/>
      <c r="C260" s="161"/>
      <c r="D260" s="161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4.0" customHeight="1">
      <c r="A261" s="184"/>
      <c r="B261" s="224"/>
      <c r="C261" s="161"/>
      <c r="D261" s="161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4.0" customHeight="1">
      <c r="A262" s="184"/>
      <c r="B262" s="224"/>
      <c r="C262" s="161"/>
      <c r="D262" s="161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4.0" customHeight="1">
      <c r="A263" s="184"/>
      <c r="B263" s="224"/>
      <c r="C263" s="161"/>
      <c r="D263" s="161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4.0" customHeight="1">
      <c r="A264" s="184"/>
      <c r="B264" s="224"/>
      <c r="C264" s="161"/>
      <c r="D264" s="161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4.0" customHeight="1">
      <c r="A265" s="184"/>
      <c r="B265" s="224"/>
      <c r="C265" s="161"/>
      <c r="D265" s="161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4.0" customHeight="1">
      <c r="A266" s="184"/>
      <c r="B266" s="224"/>
      <c r="C266" s="161"/>
      <c r="D266" s="161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4.0" customHeight="1">
      <c r="A267" s="184"/>
      <c r="B267" s="224"/>
      <c r="C267" s="161"/>
      <c r="D267" s="161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4.0" customHeight="1">
      <c r="A268" s="184"/>
      <c r="B268" s="224"/>
      <c r="C268" s="161"/>
      <c r="D268" s="161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4.0" customHeight="1">
      <c r="A269" s="184"/>
      <c r="B269" s="224"/>
      <c r="C269" s="161"/>
      <c r="D269" s="161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4.0" customHeight="1">
      <c r="A270" s="184"/>
      <c r="B270" s="224"/>
      <c r="C270" s="161"/>
      <c r="D270" s="161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4.0" customHeight="1">
      <c r="A271" s="184"/>
      <c r="B271" s="224"/>
      <c r="C271" s="161"/>
      <c r="D271" s="161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4.0" customHeight="1">
      <c r="A272" s="184"/>
      <c r="B272" s="224"/>
      <c r="C272" s="161"/>
      <c r="D272" s="161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4.0" customHeight="1">
      <c r="A273" s="184"/>
      <c r="B273" s="224"/>
      <c r="C273" s="161"/>
      <c r="D273" s="161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4.0" customHeight="1">
      <c r="A274" s="184"/>
      <c r="B274" s="224"/>
      <c r="C274" s="161"/>
      <c r="D274" s="161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4.0" customHeight="1">
      <c r="A275" s="184"/>
      <c r="B275" s="224"/>
      <c r="C275" s="161"/>
      <c r="D275" s="161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4.0" customHeight="1">
      <c r="A276" s="184"/>
      <c r="B276" s="224"/>
      <c r="C276" s="161"/>
      <c r="D276" s="161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4.0" customHeight="1">
      <c r="A277" s="184"/>
      <c r="B277" s="224"/>
      <c r="C277" s="161"/>
      <c r="D277" s="161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4.0" customHeight="1">
      <c r="A278" s="184"/>
      <c r="B278" s="224"/>
      <c r="C278" s="161"/>
      <c r="D278" s="161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4.0" customHeight="1">
      <c r="A279" s="184"/>
      <c r="B279" s="224"/>
      <c r="C279" s="161"/>
      <c r="D279" s="161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4.0" customHeight="1">
      <c r="A280" s="184"/>
      <c r="B280" s="224"/>
      <c r="C280" s="161"/>
      <c r="D280" s="161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4.0" customHeight="1">
      <c r="A281" s="184"/>
      <c r="B281" s="224"/>
      <c r="C281" s="161"/>
      <c r="D281" s="161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4.0" customHeight="1">
      <c r="A282" s="184"/>
      <c r="B282" s="224"/>
      <c r="C282" s="161"/>
      <c r="D282" s="161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4.0" customHeight="1">
      <c r="A283" s="184"/>
      <c r="B283" s="224"/>
      <c r="C283" s="161"/>
      <c r="D283" s="161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4.0" customHeight="1">
      <c r="A284" s="184"/>
      <c r="B284" s="224"/>
      <c r="C284" s="161"/>
      <c r="D284" s="161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4.0" customHeight="1">
      <c r="A285" s="184"/>
      <c r="B285" s="224"/>
      <c r="C285" s="161"/>
      <c r="D285" s="161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4.0" customHeight="1">
      <c r="A286" s="184"/>
      <c r="B286" s="224"/>
      <c r="C286" s="161"/>
      <c r="D286" s="161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4.0" customHeight="1">
      <c r="A287" s="184"/>
      <c r="B287" s="224"/>
      <c r="C287" s="161"/>
      <c r="D287" s="161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4.0" customHeight="1">
      <c r="A288" s="184"/>
      <c r="B288" s="224"/>
      <c r="C288" s="161"/>
      <c r="D288" s="161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4.0" customHeight="1">
      <c r="A289" s="184"/>
      <c r="B289" s="224"/>
      <c r="C289" s="161"/>
      <c r="D289" s="161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4.0" customHeight="1">
      <c r="A290" s="184"/>
      <c r="B290" s="224"/>
      <c r="C290" s="161"/>
      <c r="D290" s="161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4.0" customHeight="1">
      <c r="A291" s="184"/>
      <c r="B291" s="224"/>
      <c r="C291" s="161"/>
      <c r="D291" s="161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4.0" customHeight="1">
      <c r="A292" s="184"/>
      <c r="B292" s="224"/>
      <c r="C292" s="161"/>
      <c r="D292" s="161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4.0" customHeight="1">
      <c r="A293" s="184"/>
      <c r="B293" s="224"/>
      <c r="C293" s="161"/>
      <c r="D293" s="161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4.0" customHeight="1">
      <c r="A294" s="184"/>
      <c r="B294" s="224"/>
      <c r="C294" s="161"/>
      <c r="D294" s="161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4.0" customHeight="1">
      <c r="A295" s="184"/>
      <c r="B295" s="224"/>
      <c r="C295" s="161"/>
      <c r="D295" s="161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4.0" customHeight="1">
      <c r="A296" s="184"/>
      <c r="B296" s="224"/>
      <c r="C296" s="161"/>
      <c r="D296" s="161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4.0" customHeight="1">
      <c r="A297" s="184"/>
      <c r="B297" s="224"/>
      <c r="C297" s="161"/>
      <c r="D297" s="161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4.0" customHeight="1">
      <c r="A298" s="184"/>
      <c r="B298" s="224"/>
      <c r="C298" s="161"/>
      <c r="D298" s="161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4.0" customHeight="1">
      <c r="A299" s="184"/>
      <c r="B299" s="224"/>
      <c r="C299" s="161"/>
      <c r="D299" s="161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4.0" customHeight="1">
      <c r="A300" s="184"/>
      <c r="B300" s="224"/>
      <c r="C300" s="161"/>
      <c r="D300" s="161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4.0" customHeight="1">
      <c r="A301" s="184"/>
      <c r="B301" s="224"/>
      <c r="C301" s="161"/>
      <c r="D301" s="161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4.0" customHeight="1">
      <c r="A302" s="184"/>
      <c r="B302" s="224"/>
      <c r="C302" s="161"/>
      <c r="D302" s="161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4.0" customHeight="1">
      <c r="A303" s="184"/>
      <c r="B303" s="224"/>
      <c r="C303" s="161"/>
      <c r="D303" s="161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4.0" customHeight="1">
      <c r="A304" s="184"/>
      <c r="B304" s="224"/>
      <c r="C304" s="161"/>
      <c r="D304" s="161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4.0" customHeight="1">
      <c r="A305" s="184"/>
      <c r="B305" s="224"/>
      <c r="C305" s="161"/>
      <c r="D305" s="161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4.0" customHeight="1">
      <c r="A306" s="184"/>
      <c r="B306" s="224"/>
      <c r="C306" s="161"/>
      <c r="D306" s="161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4.0" customHeight="1">
      <c r="A307" s="184"/>
      <c r="B307" s="224"/>
      <c r="C307" s="161"/>
      <c r="D307" s="161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4.0" customHeight="1">
      <c r="A308" s="184"/>
      <c r="B308" s="224"/>
      <c r="C308" s="161"/>
      <c r="D308" s="161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4.0" customHeight="1">
      <c r="A309" s="184"/>
      <c r="B309" s="224"/>
      <c r="C309" s="161"/>
      <c r="D309" s="161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4.0" customHeight="1">
      <c r="A310" s="184"/>
      <c r="B310" s="224"/>
      <c r="C310" s="161"/>
      <c r="D310" s="161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4.0" customHeight="1">
      <c r="A311" s="184"/>
      <c r="B311" s="224"/>
      <c r="C311" s="161"/>
      <c r="D311" s="161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4.0" customHeight="1">
      <c r="A312" s="184"/>
      <c r="B312" s="224"/>
      <c r="C312" s="161"/>
      <c r="D312" s="161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4.0" customHeight="1">
      <c r="A313" s="184"/>
      <c r="B313" s="224"/>
      <c r="C313" s="161"/>
      <c r="D313" s="161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4.0" customHeight="1">
      <c r="A314" s="184"/>
      <c r="B314" s="224"/>
      <c r="C314" s="161"/>
      <c r="D314" s="161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4.0" customHeight="1">
      <c r="A315" s="184"/>
      <c r="B315" s="224"/>
      <c r="C315" s="161"/>
      <c r="D315" s="161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4.0" customHeight="1">
      <c r="A316" s="184"/>
      <c r="B316" s="224"/>
      <c r="C316" s="161"/>
      <c r="D316" s="161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4.0" customHeight="1">
      <c r="A317" s="184"/>
      <c r="B317" s="224"/>
      <c r="C317" s="161"/>
      <c r="D317" s="161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4.0" customHeight="1">
      <c r="A318" s="184"/>
      <c r="B318" s="224"/>
      <c r="C318" s="161"/>
      <c r="D318" s="161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4.0" customHeight="1">
      <c r="A319" s="184"/>
      <c r="B319" s="224"/>
      <c r="C319" s="161"/>
      <c r="D319" s="161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4.0" customHeight="1">
      <c r="A320" s="184"/>
      <c r="B320" s="224"/>
      <c r="C320" s="161"/>
      <c r="D320" s="161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4.0" customHeight="1">
      <c r="A321" s="184"/>
      <c r="B321" s="224"/>
      <c r="C321" s="161"/>
      <c r="D321" s="161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4.0" customHeight="1">
      <c r="A322" s="184"/>
      <c r="B322" s="224"/>
      <c r="C322" s="161"/>
      <c r="D322" s="161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4.0" customHeight="1">
      <c r="A323" s="184"/>
      <c r="B323" s="224"/>
      <c r="C323" s="161"/>
      <c r="D323" s="161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4.0" customHeight="1">
      <c r="A324" s="184"/>
      <c r="B324" s="224"/>
      <c r="C324" s="161"/>
      <c r="D324" s="161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4.0" customHeight="1">
      <c r="A325" s="184"/>
      <c r="B325" s="224"/>
      <c r="C325" s="161"/>
      <c r="D325" s="161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4.0" customHeight="1">
      <c r="A326" s="184"/>
      <c r="B326" s="224"/>
      <c r="C326" s="161"/>
      <c r="D326" s="161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4.0" customHeight="1">
      <c r="A327" s="184"/>
      <c r="B327" s="224"/>
      <c r="C327" s="161"/>
      <c r="D327" s="161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4.0" customHeight="1">
      <c r="A328" s="184"/>
      <c r="B328" s="224"/>
      <c r="C328" s="161"/>
      <c r="D328" s="161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4.0" customHeight="1">
      <c r="A329" s="184"/>
      <c r="B329" s="224"/>
      <c r="C329" s="161"/>
      <c r="D329" s="161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4.0" customHeight="1">
      <c r="A330" s="184"/>
      <c r="B330" s="224"/>
      <c r="C330" s="161"/>
      <c r="D330" s="161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4.0" customHeight="1">
      <c r="A331" s="184"/>
      <c r="B331" s="224"/>
      <c r="C331" s="161"/>
      <c r="D331" s="161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4.0" customHeight="1">
      <c r="A332" s="184"/>
      <c r="B332" s="224"/>
      <c r="C332" s="161"/>
      <c r="D332" s="161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4.0" customHeight="1">
      <c r="A333" s="184"/>
      <c r="B333" s="224"/>
      <c r="C333" s="161"/>
      <c r="D333" s="161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4.0" customHeight="1">
      <c r="A334" s="184"/>
      <c r="B334" s="224"/>
      <c r="C334" s="161"/>
      <c r="D334" s="161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4.0" customHeight="1">
      <c r="A335" s="184"/>
      <c r="B335" s="224"/>
      <c r="C335" s="161"/>
      <c r="D335" s="161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4.0" customHeight="1">
      <c r="A336" s="184"/>
      <c r="B336" s="224"/>
      <c r="C336" s="161"/>
      <c r="D336" s="161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4.0" customHeight="1">
      <c r="A337" s="184"/>
      <c r="B337" s="224"/>
      <c r="C337" s="161"/>
      <c r="D337" s="161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4.0" customHeight="1">
      <c r="A338" s="184"/>
      <c r="B338" s="224"/>
      <c r="C338" s="161"/>
      <c r="D338" s="161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4.0" customHeight="1">
      <c r="A339" s="184"/>
      <c r="B339" s="224"/>
      <c r="C339" s="161"/>
      <c r="D339" s="161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4.0" customHeight="1">
      <c r="A340" s="184"/>
      <c r="B340" s="224"/>
      <c r="C340" s="161"/>
      <c r="D340" s="161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4.0" customHeight="1">
      <c r="A341" s="184"/>
      <c r="B341" s="224"/>
      <c r="C341" s="161"/>
      <c r="D341" s="161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4.0" customHeight="1">
      <c r="A342" s="184"/>
      <c r="B342" s="224"/>
      <c r="C342" s="161"/>
      <c r="D342" s="161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4.0" customHeight="1">
      <c r="A343" s="184"/>
      <c r="B343" s="224"/>
      <c r="C343" s="161"/>
      <c r="D343" s="161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4.0" customHeight="1">
      <c r="A344" s="184"/>
      <c r="B344" s="224"/>
      <c r="C344" s="161"/>
      <c r="D344" s="161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4.0" customHeight="1">
      <c r="A345" s="184"/>
      <c r="B345" s="224"/>
      <c r="C345" s="161"/>
      <c r="D345" s="161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4.0" customHeight="1">
      <c r="A346" s="184"/>
      <c r="B346" s="224"/>
      <c r="C346" s="161"/>
      <c r="D346" s="161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4.0" customHeight="1">
      <c r="A347" s="184"/>
      <c r="B347" s="224"/>
      <c r="C347" s="161"/>
      <c r="D347" s="161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4.0" customHeight="1">
      <c r="A348" s="184"/>
      <c r="B348" s="224"/>
      <c r="C348" s="161"/>
      <c r="D348" s="161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4.0" customHeight="1">
      <c r="A349" s="184"/>
      <c r="B349" s="224"/>
      <c r="C349" s="161"/>
      <c r="D349" s="161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4.0" customHeight="1">
      <c r="A350" s="184"/>
      <c r="B350" s="224"/>
      <c r="C350" s="161"/>
      <c r="D350" s="161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4.0" customHeight="1">
      <c r="A351" s="184"/>
      <c r="B351" s="224"/>
      <c r="C351" s="161"/>
      <c r="D351" s="161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4.0" customHeight="1">
      <c r="A352" s="184"/>
      <c r="B352" s="224"/>
      <c r="C352" s="161"/>
      <c r="D352" s="161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4.0" customHeight="1">
      <c r="A353" s="184"/>
      <c r="B353" s="224"/>
      <c r="C353" s="161"/>
      <c r="D353" s="161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4.0" customHeight="1">
      <c r="A354" s="184"/>
      <c r="B354" s="224"/>
      <c r="C354" s="161"/>
      <c r="D354" s="161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4.0" customHeight="1">
      <c r="A355" s="184"/>
      <c r="B355" s="224"/>
      <c r="C355" s="161"/>
      <c r="D355" s="161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4.0" customHeight="1">
      <c r="A356" s="184"/>
      <c r="B356" s="224"/>
      <c r="C356" s="161"/>
      <c r="D356" s="161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4.0" customHeight="1">
      <c r="A357" s="184"/>
      <c r="B357" s="224"/>
      <c r="C357" s="161"/>
      <c r="D357" s="161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4.0" customHeight="1">
      <c r="A358" s="184"/>
      <c r="B358" s="224"/>
      <c r="C358" s="161"/>
      <c r="D358" s="161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4.0" customHeight="1">
      <c r="A359" s="184"/>
      <c r="B359" s="224"/>
      <c r="C359" s="161"/>
      <c r="D359" s="161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4.0" customHeight="1">
      <c r="A360" s="184"/>
      <c r="B360" s="224"/>
      <c r="C360" s="161"/>
      <c r="D360" s="161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4.0" customHeight="1">
      <c r="A361" s="184"/>
      <c r="B361" s="224"/>
      <c r="C361" s="161"/>
      <c r="D361" s="161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4.0" customHeight="1">
      <c r="A362" s="184"/>
      <c r="B362" s="224"/>
      <c r="C362" s="161"/>
      <c r="D362" s="161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4.0" customHeight="1">
      <c r="A363" s="184"/>
      <c r="B363" s="224"/>
      <c r="C363" s="161"/>
      <c r="D363" s="161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4.0" customHeight="1">
      <c r="A364" s="184"/>
      <c r="B364" s="224"/>
      <c r="C364" s="161"/>
      <c r="D364" s="161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4.0" customHeight="1">
      <c r="A365" s="184"/>
      <c r="B365" s="224"/>
      <c r="C365" s="161"/>
      <c r="D365" s="161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4.0" customHeight="1">
      <c r="A366" s="184"/>
      <c r="B366" s="224"/>
      <c r="C366" s="161"/>
      <c r="D366" s="161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4.0" customHeight="1">
      <c r="A367" s="184"/>
      <c r="B367" s="224"/>
      <c r="C367" s="161"/>
      <c r="D367" s="161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4.0" customHeight="1">
      <c r="A368" s="184"/>
      <c r="B368" s="224"/>
      <c r="C368" s="161"/>
      <c r="D368" s="161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4.0" customHeight="1">
      <c r="A369" s="184"/>
      <c r="B369" s="224"/>
      <c r="C369" s="161"/>
      <c r="D369" s="161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4.0" customHeight="1">
      <c r="A370" s="184"/>
      <c r="B370" s="224"/>
      <c r="C370" s="161"/>
      <c r="D370" s="161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4.0" customHeight="1">
      <c r="A371" s="184"/>
      <c r="B371" s="224"/>
      <c r="C371" s="161"/>
      <c r="D371" s="161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4.0" customHeight="1">
      <c r="A372" s="184"/>
      <c r="B372" s="224"/>
      <c r="C372" s="161"/>
      <c r="D372" s="161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4.0" customHeight="1">
      <c r="A373" s="184"/>
      <c r="B373" s="224"/>
      <c r="C373" s="161"/>
      <c r="D373" s="161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4.0" customHeight="1">
      <c r="A374" s="184"/>
      <c r="B374" s="224"/>
      <c r="C374" s="161"/>
      <c r="D374" s="161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4.0" customHeight="1">
      <c r="A375" s="184"/>
      <c r="B375" s="224"/>
      <c r="C375" s="161"/>
      <c r="D375" s="161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4.0" customHeight="1">
      <c r="A376" s="184"/>
      <c r="B376" s="224"/>
      <c r="C376" s="161"/>
      <c r="D376" s="161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4.0" customHeight="1">
      <c r="A377" s="184"/>
      <c r="B377" s="224"/>
      <c r="C377" s="161"/>
      <c r="D377" s="161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4.0" customHeight="1">
      <c r="A378" s="184"/>
      <c r="B378" s="224"/>
      <c r="C378" s="161"/>
      <c r="D378" s="161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4.0" customHeight="1">
      <c r="A379" s="184"/>
      <c r="B379" s="224"/>
      <c r="C379" s="161"/>
      <c r="D379" s="161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4.0" customHeight="1">
      <c r="A380" s="184"/>
      <c r="B380" s="224"/>
      <c r="C380" s="161"/>
      <c r="D380" s="161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4.0" customHeight="1">
      <c r="A381" s="184"/>
      <c r="B381" s="224"/>
      <c r="C381" s="161"/>
      <c r="D381" s="161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4.0" customHeight="1">
      <c r="A382" s="184"/>
      <c r="B382" s="224"/>
      <c r="C382" s="161"/>
      <c r="D382" s="161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4.0" customHeight="1">
      <c r="A383" s="184"/>
      <c r="B383" s="224"/>
      <c r="C383" s="161"/>
      <c r="D383" s="161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4.0" customHeight="1">
      <c r="A384" s="184"/>
      <c r="B384" s="224"/>
      <c r="C384" s="161"/>
      <c r="D384" s="161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4.0" customHeight="1">
      <c r="A385" s="184"/>
      <c r="B385" s="224"/>
      <c r="C385" s="161"/>
      <c r="D385" s="161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4.0" customHeight="1">
      <c r="A386" s="184"/>
      <c r="B386" s="224"/>
      <c r="C386" s="161"/>
      <c r="D386" s="161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4.0" customHeight="1">
      <c r="A387" s="184"/>
      <c r="B387" s="224"/>
      <c r="C387" s="161"/>
      <c r="D387" s="161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4.0" customHeight="1">
      <c r="A388" s="184"/>
      <c r="B388" s="224"/>
      <c r="C388" s="161"/>
      <c r="D388" s="161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4.0" customHeight="1">
      <c r="A389" s="184"/>
      <c r="B389" s="224"/>
      <c r="C389" s="161"/>
      <c r="D389" s="161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4.0" customHeight="1">
      <c r="A390" s="184"/>
      <c r="B390" s="224"/>
      <c r="C390" s="161"/>
      <c r="D390" s="161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4.0" customHeight="1">
      <c r="A391" s="184"/>
      <c r="B391" s="224"/>
      <c r="C391" s="161"/>
      <c r="D391" s="161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4.0" customHeight="1">
      <c r="A392" s="184"/>
      <c r="B392" s="224"/>
      <c r="C392" s="161"/>
      <c r="D392" s="161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4.0" customHeight="1">
      <c r="A393" s="184"/>
      <c r="B393" s="224"/>
      <c r="C393" s="161"/>
      <c r="D393" s="161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4.0" customHeight="1">
      <c r="A394" s="184"/>
      <c r="B394" s="224"/>
      <c r="C394" s="161"/>
      <c r="D394" s="161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4.0" customHeight="1">
      <c r="A395" s="184"/>
      <c r="B395" s="224"/>
      <c r="C395" s="161"/>
      <c r="D395" s="161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4.0" customHeight="1">
      <c r="A396" s="184"/>
      <c r="B396" s="224"/>
      <c r="C396" s="161"/>
      <c r="D396" s="161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4.0" customHeight="1">
      <c r="A397" s="184"/>
      <c r="B397" s="224"/>
      <c r="C397" s="161"/>
      <c r="D397" s="161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4.0" customHeight="1">
      <c r="A398" s="184"/>
      <c r="B398" s="224"/>
      <c r="C398" s="161"/>
      <c r="D398" s="161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4.0" customHeight="1">
      <c r="A399" s="184"/>
      <c r="B399" s="224"/>
      <c r="C399" s="161"/>
      <c r="D399" s="161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4.0" customHeight="1">
      <c r="A400" s="184"/>
      <c r="B400" s="224"/>
      <c r="C400" s="161"/>
      <c r="D400" s="161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4.0" customHeight="1">
      <c r="A401" s="184"/>
      <c r="B401" s="224"/>
      <c r="C401" s="161"/>
      <c r="D401" s="161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4.0" customHeight="1">
      <c r="A402" s="184"/>
      <c r="B402" s="224"/>
      <c r="C402" s="161"/>
      <c r="D402" s="161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4.0" customHeight="1">
      <c r="A403" s="184"/>
      <c r="B403" s="224"/>
      <c r="C403" s="161"/>
      <c r="D403" s="161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4.0" customHeight="1">
      <c r="A404" s="184"/>
      <c r="B404" s="224"/>
      <c r="C404" s="161"/>
      <c r="D404" s="161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4.0" customHeight="1">
      <c r="A405" s="184"/>
      <c r="B405" s="224"/>
      <c r="C405" s="161"/>
      <c r="D405" s="161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4.0" customHeight="1">
      <c r="A406" s="184"/>
      <c r="B406" s="224"/>
      <c r="C406" s="161"/>
      <c r="D406" s="161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4.0" customHeight="1">
      <c r="A407" s="184"/>
      <c r="B407" s="224"/>
      <c r="C407" s="161"/>
      <c r="D407" s="161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4.0" customHeight="1">
      <c r="A408" s="184"/>
      <c r="B408" s="224"/>
      <c r="C408" s="161"/>
      <c r="D408" s="161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4.0" customHeight="1">
      <c r="A409" s="184"/>
      <c r="B409" s="224"/>
      <c r="C409" s="161"/>
      <c r="D409" s="161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4.0" customHeight="1">
      <c r="A410" s="184"/>
      <c r="B410" s="224"/>
      <c r="C410" s="161"/>
      <c r="D410" s="161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4.0" customHeight="1">
      <c r="A411" s="184"/>
      <c r="B411" s="224"/>
      <c r="C411" s="161"/>
      <c r="D411" s="161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4.0" customHeight="1">
      <c r="A412" s="184"/>
      <c r="B412" s="224"/>
      <c r="C412" s="161"/>
      <c r="D412" s="161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4.0" customHeight="1">
      <c r="A413" s="184"/>
      <c r="B413" s="224"/>
      <c r="C413" s="161"/>
      <c r="D413" s="161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4.0" customHeight="1">
      <c r="A414" s="184"/>
      <c r="B414" s="224"/>
      <c r="C414" s="161"/>
      <c r="D414" s="161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4.0" customHeight="1">
      <c r="A415" s="184"/>
      <c r="B415" s="224"/>
      <c r="C415" s="161"/>
      <c r="D415" s="161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4.0" customHeight="1">
      <c r="A416" s="184"/>
      <c r="B416" s="224"/>
      <c r="C416" s="161"/>
      <c r="D416" s="161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4.0" customHeight="1">
      <c r="A417" s="184"/>
      <c r="B417" s="224"/>
      <c r="C417" s="161"/>
      <c r="D417" s="161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4.0" customHeight="1">
      <c r="A418" s="184"/>
      <c r="B418" s="224"/>
      <c r="C418" s="161"/>
      <c r="D418" s="161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4.0" customHeight="1">
      <c r="A419" s="184"/>
      <c r="B419" s="224"/>
      <c r="C419" s="161"/>
      <c r="D419" s="161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4.0" customHeight="1">
      <c r="A420" s="184"/>
      <c r="B420" s="224"/>
      <c r="C420" s="161"/>
      <c r="D420" s="161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4.0" customHeight="1">
      <c r="A421" s="184"/>
      <c r="B421" s="224"/>
      <c r="C421" s="161"/>
      <c r="D421" s="161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4.0" customHeight="1">
      <c r="A422" s="184"/>
      <c r="B422" s="224"/>
      <c r="C422" s="161"/>
      <c r="D422" s="161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4.0" customHeight="1">
      <c r="A423" s="184"/>
      <c r="B423" s="224"/>
      <c r="C423" s="161"/>
      <c r="D423" s="161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4.0" customHeight="1">
      <c r="A424" s="184"/>
      <c r="B424" s="224"/>
      <c r="C424" s="161"/>
      <c r="D424" s="161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4.0" customHeight="1">
      <c r="A425" s="184"/>
      <c r="B425" s="224"/>
      <c r="C425" s="161"/>
      <c r="D425" s="161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4.0" customHeight="1">
      <c r="A426" s="184"/>
      <c r="B426" s="224"/>
      <c r="C426" s="161"/>
      <c r="D426" s="161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4.0" customHeight="1">
      <c r="A427" s="184"/>
      <c r="B427" s="224"/>
      <c r="C427" s="161"/>
      <c r="D427" s="161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4.0" customHeight="1">
      <c r="A428" s="184"/>
      <c r="B428" s="224"/>
      <c r="C428" s="161"/>
      <c r="D428" s="161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4.0" customHeight="1">
      <c r="A429" s="184"/>
      <c r="B429" s="224"/>
      <c r="C429" s="161"/>
      <c r="D429" s="161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4.0" customHeight="1">
      <c r="A430" s="184"/>
      <c r="B430" s="224"/>
      <c r="C430" s="161"/>
      <c r="D430" s="161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4.0" customHeight="1">
      <c r="A431" s="184"/>
      <c r="B431" s="224"/>
      <c r="C431" s="161"/>
      <c r="D431" s="161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4.0" customHeight="1">
      <c r="A432" s="184"/>
      <c r="B432" s="224"/>
      <c r="C432" s="161"/>
      <c r="D432" s="161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4.0" customHeight="1">
      <c r="A433" s="184"/>
      <c r="B433" s="224"/>
      <c r="C433" s="161"/>
      <c r="D433" s="161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4.0" customHeight="1">
      <c r="A434" s="184"/>
      <c r="B434" s="224"/>
      <c r="C434" s="161"/>
      <c r="D434" s="161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4.0" customHeight="1">
      <c r="A435" s="184"/>
      <c r="B435" s="224"/>
      <c r="C435" s="161"/>
      <c r="D435" s="161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4.0" customHeight="1">
      <c r="A436" s="184"/>
      <c r="B436" s="224"/>
      <c r="C436" s="161"/>
      <c r="D436" s="161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4.0" customHeight="1">
      <c r="A437" s="184"/>
      <c r="B437" s="224"/>
      <c r="C437" s="161"/>
      <c r="D437" s="161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4.0" customHeight="1">
      <c r="A438" s="184"/>
      <c r="B438" s="224"/>
      <c r="C438" s="161"/>
      <c r="D438" s="161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4.0" customHeight="1">
      <c r="A439" s="184"/>
      <c r="B439" s="224"/>
      <c r="C439" s="161"/>
      <c r="D439" s="161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4.0" customHeight="1">
      <c r="A440" s="184"/>
      <c r="B440" s="224"/>
      <c r="C440" s="161"/>
      <c r="D440" s="161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4.0" customHeight="1">
      <c r="A441" s="184"/>
      <c r="B441" s="224"/>
      <c r="C441" s="161"/>
      <c r="D441" s="161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4.0" customHeight="1">
      <c r="A442" s="184"/>
      <c r="B442" s="224"/>
      <c r="C442" s="161"/>
      <c r="D442" s="161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4.0" customHeight="1">
      <c r="A443" s="184"/>
      <c r="B443" s="224"/>
      <c r="C443" s="161"/>
      <c r="D443" s="161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4.0" customHeight="1">
      <c r="A444" s="184"/>
      <c r="B444" s="224"/>
      <c r="C444" s="161"/>
      <c r="D444" s="161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4.0" customHeight="1">
      <c r="A445" s="184"/>
      <c r="B445" s="224"/>
      <c r="C445" s="161"/>
      <c r="D445" s="161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4.0" customHeight="1">
      <c r="A446" s="184"/>
      <c r="B446" s="224"/>
      <c r="C446" s="161"/>
      <c r="D446" s="161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4.0" customHeight="1">
      <c r="A447" s="184"/>
      <c r="B447" s="224"/>
      <c r="C447" s="161"/>
      <c r="D447" s="161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4.0" customHeight="1">
      <c r="A448" s="184"/>
      <c r="B448" s="224"/>
      <c r="C448" s="161"/>
      <c r="D448" s="161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4.0" customHeight="1">
      <c r="A449" s="184"/>
      <c r="B449" s="224"/>
      <c r="C449" s="161"/>
      <c r="D449" s="161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4.0" customHeight="1">
      <c r="A450" s="184"/>
      <c r="B450" s="224"/>
      <c r="C450" s="161"/>
      <c r="D450" s="161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4.0" customHeight="1">
      <c r="A451" s="184"/>
      <c r="B451" s="224"/>
      <c r="C451" s="161"/>
      <c r="D451" s="161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4.0" customHeight="1">
      <c r="A452" s="184"/>
      <c r="B452" s="224"/>
      <c r="C452" s="161"/>
      <c r="D452" s="161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4.0" customHeight="1">
      <c r="A453" s="184"/>
      <c r="B453" s="224"/>
      <c r="C453" s="161"/>
      <c r="D453" s="161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4.0" customHeight="1">
      <c r="A454" s="184"/>
      <c r="B454" s="224"/>
      <c r="C454" s="161"/>
      <c r="D454" s="161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4.0" customHeight="1">
      <c r="A455" s="184"/>
      <c r="B455" s="224"/>
      <c r="C455" s="161"/>
      <c r="D455" s="161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4.0" customHeight="1">
      <c r="A456" s="184"/>
      <c r="B456" s="224"/>
      <c r="C456" s="161"/>
      <c r="D456" s="161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4.0" customHeight="1">
      <c r="A457" s="184"/>
      <c r="B457" s="224"/>
      <c r="C457" s="161"/>
      <c r="D457" s="161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4.0" customHeight="1">
      <c r="A458" s="184"/>
      <c r="B458" s="224"/>
      <c r="C458" s="161"/>
      <c r="D458" s="161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4.0" customHeight="1">
      <c r="A459" s="184"/>
      <c r="B459" s="224"/>
      <c r="C459" s="161"/>
      <c r="D459" s="161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4.0" customHeight="1">
      <c r="A460" s="184"/>
      <c r="B460" s="224"/>
      <c r="C460" s="161"/>
      <c r="D460" s="161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4.0" customHeight="1">
      <c r="A461" s="184"/>
      <c r="B461" s="224"/>
      <c r="C461" s="161"/>
      <c r="D461" s="161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4.0" customHeight="1">
      <c r="A462" s="184"/>
      <c r="B462" s="224"/>
      <c r="C462" s="161"/>
      <c r="D462" s="161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4.0" customHeight="1">
      <c r="A463" s="184"/>
      <c r="B463" s="224"/>
      <c r="C463" s="161"/>
      <c r="D463" s="161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4.0" customHeight="1">
      <c r="A464" s="184"/>
      <c r="B464" s="224"/>
      <c r="C464" s="161"/>
      <c r="D464" s="161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4.0" customHeight="1">
      <c r="A465" s="184"/>
      <c r="B465" s="224"/>
      <c r="C465" s="161"/>
      <c r="D465" s="161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4.0" customHeight="1">
      <c r="A466" s="184"/>
      <c r="B466" s="224"/>
      <c r="C466" s="161"/>
      <c r="D466" s="161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4.0" customHeight="1">
      <c r="A467" s="184"/>
      <c r="B467" s="224"/>
      <c r="C467" s="161"/>
      <c r="D467" s="161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4.0" customHeight="1">
      <c r="A468" s="184"/>
      <c r="B468" s="224"/>
      <c r="C468" s="161"/>
      <c r="D468" s="161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4.0" customHeight="1">
      <c r="A469" s="184"/>
      <c r="B469" s="224"/>
      <c r="C469" s="161"/>
      <c r="D469" s="161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4.0" customHeight="1">
      <c r="A470" s="184"/>
      <c r="B470" s="224"/>
      <c r="C470" s="161"/>
      <c r="D470" s="161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4.0" customHeight="1">
      <c r="A471" s="184"/>
      <c r="B471" s="224"/>
      <c r="C471" s="161"/>
      <c r="D471" s="161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4.0" customHeight="1">
      <c r="A472" s="184"/>
      <c r="B472" s="224"/>
      <c r="C472" s="161"/>
      <c r="D472" s="161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4.0" customHeight="1">
      <c r="A473" s="184"/>
      <c r="B473" s="224"/>
      <c r="C473" s="161"/>
      <c r="D473" s="161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4.0" customHeight="1">
      <c r="A474" s="184"/>
      <c r="B474" s="224"/>
      <c r="C474" s="161"/>
      <c r="D474" s="161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4.0" customHeight="1">
      <c r="A475" s="184"/>
      <c r="B475" s="224"/>
      <c r="C475" s="161"/>
      <c r="D475" s="161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4.0" customHeight="1">
      <c r="A476" s="184"/>
      <c r="B476" s="224"/>
      <c r="C476" s="161"/>
      <c r="D476" s="161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4.0" customHeight="1">
      <c r="A477" s="184"/>
      <c r="B477" s="224"/>
      <c r="C477" s="161"/>
      <c r="D477" s="161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4.0" customHeight="1">
      <c r="A478" s="184"/>
      <c r="B478" s="224"/>
      <c r="C478" s="161"/>
      <c r="D478" s="161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4.0" customHeight="1">
      <c r="A479" s="184"/>
      <c r="B479" s="224"/>
      <c r="C479" s="161"/>
      <c r="D479" s="161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4.0" customHeight="1">
      <c r="A480" s="184"/>
      <c r="B480" s="224"/>
      <c r="C480" s="161"/>
      <c r="D480" s="161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4.0" customHeight="1">
      <c r="A481" s="184"/>
      <c r="B481" s="224"/>
      <c r="C481" s="161"/>
      <c r="D481" s="161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4.0" customHeight="1">
      <c r="A482" s="184"/>
      <c r="B482" s="224"/>
      <c r="C482" s="161"/>
      <c r="D482" s="161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4.0" customHeight="1">
      <c r="A483" s="184"/>
      <c r="B483" s="224"/>
      <c r="C483" s="161"/>
      <c r="D483" s="161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4.0" customHeight="1">
      <c r="A484" s="184"/>
      <c r="B484" s="224"/>
      <c r="C484" s="161"/>
      <c r="D484" s="161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4.0" customHeight="1">
      <c r="A485" s="184"/>
      <c r="B485" s="224"/>
      <c r="C485" s="161"/>
      <c r="D485" s="161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4.0" customHeight="1">
      <c r="A486" s="184"/>
      <c r="B486" s="224"/>
      <c r="C486" s="161"/>
      <c r="D486" s="161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4.0" customHeight="1">
      <c r="A487" s="184"/>
      <c r="B487" s="224"/>
      <c r="C487" s="161"/>
      <c r="D487" s="161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4.0" customHeight="1">
      <c r="A488" s="184"/>
      <c r="B488" s="224"/>
      <c r="C488" s="161"/>
      <c r="D488" s="161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4.0" customHeight="1">
      <c r="A489" s="184"/>
      <c r="B489" s="224"/>
      <c r="C489" s="161"/>
      <c r="D489" s="161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4.0" customHeight="1">
      <c r="A490" s="184"/>
      <c r="B490" s="224"/>
      <c r="C490" s="161"/>
      <c r="D490" s="161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4.0" customHeight="1">
      <c r="A491" s="184"/>
      <c r="B491" s="224"/>
      <c r="C491" s="161"/>
      <c r="D491" s="161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4.0" customHeight="1">
      <c r="A492" s="184"/>
      <c r="B492" s="224"/>
      <c r="C492" s="161"/>
      <c r="D492" s="161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4.0" customHeight="1">
      <c r="A493" s="184"/>
      <c r="B493" s="224"/>
      <c r="C493" s="161"/>
      <c r="D493" s="161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4.0" customHeight="1">
      <c r="A494" s="184"/>
      <c r="B494" s="224"/>
      <c r="C494" s="161"/>
      <c r="D494" s="161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4.0" customHeight="1">
      <c r="A495" s="184"/>
      <c r="B495" s="224"/>
      <c r="C495" s="161"/>
      <c r="D495" s="161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4.0" customHeight="1">
      <c r="A496" s="184"/>
      <c r="B496" s="224"/>
      <c r="C496" s="161"/>
      <c r="D496" s="161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4.0" customHeight="1">
      <c r="A497" s="184"/>
      <c r="B497" s="224"/>
      <c r="C497" s="161"/>
      <c r="D497" s="161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4.0" customHeight="1">
      <c r="A498" s="184"/>
      <c r="B498" s="224"/>
      <c r="C498" s="161"/>
      <c r="D498" s="161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4.0" customHeight="1">
      <c r="A499" s="184"/>
      <c r="B499" s="224"/>
      <c r="C499" s="161"/>
      <c r="D499" s="161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4.0" customHeight="1">
      <c r="A500" s="184"/>
      <c r="B500" s="224"/>
      <c r="C500" s="161"/>
      <c r="D500" s="161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4.0" customHeight="1">
      <c r="A501" s="184"/>
      <c r="B501" s="224"/>
      <c r="C501" s="161"/>
      <c r="D501" s="161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4.0" customHeight="1">
      <c r="A502" s="184"/>
      <c r="B502" s="224"/>
      <c r="C502" s="161"/>
      <c r="D502" s="161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4.0" customHeight="1">
      <c r="A503" s="184"/>
      <c r="B503" s="224"/>
      <c r="C503" s="161"/>
      <c r="D503" s="161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4.0" customHeight="1">
      <c r="A504" s="184"/>
      <c r="B504" s="224"/>
      <c r="C504" s="161"/>
      <c r="D504" s="161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4.0" customHeight="1">
      <c r="A505" s="184"/>
      <c r="B505" s="224"/>
      <c r="C505" s="161"/>
      <c r="D505" s="161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4.0" customHeight="1">
      <c r="A506" s="184"/>
      <c r="B506" s="224"/>
      <c r="C506" s="161"/>
      <c r="D506" s="161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4.0" customHeight="1">
      <c r="A507" s="184"/>
      <c r="B507" s="224"/>
      <c r="C507" s="161"/>
      <c r="D507" s="161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4.0" customHeight="1">
      <c r="A508" s="184"/>
      <c r="B508" s="224"/>
      <c r="C508" s="161"/>
      <c r="D508" s="161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4.0" customHeight="1">
      <c r="A509" s="184"/>
      <c r="B509" s="224"/>
      <c r="C509" s="161"/>
      <c r="D509" s="161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4.0" customHeight="1">
      <c r="A510" s="184"/>
      <c r="B510" s="224"/>
      <c r="C510" s="161"/>
      <c r="D510" s="161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4.0" customHeight="1">
      <c r="A511" s="184"/>
      <c r="B511" s="224"/>
      <c r="C511" s="161"/>
      <c r="D511" s="161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4.0" customHeight="1">
      <c r="A512" s="184"/>
      <c r="B512" s="224"/>
      <c r="C512" s="161"/>
      <c r="D512" s="161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4.0" customHeight="1">
      <c r="A513" s="184"/>
      <c r="B513" s="224"/>
      <c r="C513" s="161"/>
      <c r="D513" s="161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4.0" customHeight="1">
      <c r="A514" s="184"/>
      <c r="B514" s="224"/>
      <c r="C514" s="161"/>
      <c r="D514" s="161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4.0" customHeight="1">
      <c r="A515" s="184"/>
      <c r="B515" s="224"/>
      <c r="C515" s="161"/>
      <c r="D515" s="161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4.0" customHeight="1">
      <c r="A516" s="184"/>
      <c r="B516" s="224"/>
      <c r="C516" s="161"/>
      <c r="D516" s="161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4.0" customHeight="1">
      <c r="A517" s="184"/>
      <c r="B517" s="224"/>
      <c r="C517" s="161"/>
      <c r="D517" s="161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4.0" customHeight="1">
      <c r="A518" s="184"/>
      <c r="B518" s="224"/>
      <c r="C518" s="161"/>
      <c r="D518" s="161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4.0" customHeight="1">
      <c r="A519" s="184"/>
      <c r="B519" s="224"/>
      <c r="C519" s="161"/>
      <c r="D519" s="161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4.0" customHeight="1">
      <c r="A520" s="184"/>
      <c r="B520" s="224"/>
      <c r="C520" s="161"/>
      <c r="D520" s="161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4.0" customHeight="1">
      <c r="A521" s="184"/>
      <c r="B521" s="224"/>
      <c r="C521" s="161"/>
      <c r="D521" s="161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4.0" customHeight="1">
      <c r="A522" s="184"/>
      <c r="B522" s="224"/>
      <c r="C522" s="161"/>
      <c r="D522" s="161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4.0" customHeight="1">
      <c r="A523" s="184"/>
      <c r="B523" s="224"/>
      <c r="C523" s="161"/>
      <c r="D523" s="161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4.0" customHeight="1">
      <c r="A524" s="184"/>
      <c r="B524" s="224"/>
      <c r="C524" s="161"/>
      <c r="D524" s="161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4.0" customHeight="1">
      <c r="A525" s="184"/>
      <c r="B525" s="224"/>
      <c r="C525" s="161"/>
      <c r="D525" s="161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4.0" customHeight="1">
      <c r="A526" s="184"/>
      <c r="B526" s="224"/>
      <c r="C526" s="161"/>
      <c r="D526" s="161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4.0" customHeight="1">
      <c r="A527" s="184"/>
      <c r="B527" s="224"/>
      <c r="C527" s="161"/>
      <c r="D527" s="161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4.0" customHeight="1">
      <c r="A528" s="184"/>
      <c r="B528" s="224"/>
      <c r="C528" s="161"/>
      <c r="D528" s="161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4.0" customHeight="1">
      <c r="A529" s="184"/>
      <c r="B529" s="224"/>
      <c r="C529" s="161"/>
      <c r="D529" s="161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4.0" customHeight="1">
      <c r="A530" s="184"/>
      <c r="B530" s="224"/>
      <c r="C530" s="161"/>
      <c r="D530" s="161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4.0" customHeight="1">
      <c r="A531" s="184"/>
      <c r="B531" s="224"/>
      <c r="C531" s="161"/>
      <c r="D531" s="161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4.0" customHeight="1">
      <c r="A532" s="184"/>
      <c r="B532" s="224"/>
      <c r="C532" s="161"/>
      <c r="D532" s="161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4.0" customHeight="1">
      <c r="A533" s="184"/>
      <c r="B533" s="224"/>
      <c r="C533" s="161"/>
      <c r="D533" s="161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4.0" customHeight="1">
      <c r="A534" s="184"/>
      <c r="B534" s="224"/>
      <c r="C534" s="161"/>
      <c r="D534" s="161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4.0" customHeight="1">
      <c r="A535" s="184"/>
      <c r="B535" s="224"/>
      <c r="C535" s="161"/>
      <c r="D535" s="161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4.0" customHeight="1">
      <c r="A536" s="184"/>
      <c r="B536" s="224"/>
      <c r="C536" s="161"/>
      <c r="D536" s="161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4.0" customHeight="1">
      <c r="A537" s="184"/>
      <c r="B537" s="224"/>
      <c r="C537" s="161"/>
      <c r="D537" s="161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4.0" customHeight="1">
      <c r="A538" s="184"/>
      <c r="B538" s="224"/>
      <c r="C538" s="161"/>
      <c r="D538" s="161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4.0" customHeight="1">
      <c r="A539" s="184"/>
      <c r="B539" s="224"/>
      <c r="C539" s="161"/>
      <c r="D539" s="161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4.0" customHeight="1">
      <c r="A540" s="184"/>
      <c r="B540" s="224"/>
      <c r="C540" s="161"/>
      <c r="D540" s="161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4.0" customHeight="1">
      <c r="A541" s="184"/>
      <c r="B541" s="224"/>
      <c r="C541" s="161"/>
      <c r="D541" s="161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4.0" customHeight="1">
      <c r="A542" s="184"/>
      <c r="B542" s="224"/>
      <c r="C542" s="161"/>
      <c r="D542" s="161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4.0" customHeight="1">
      <c r="A543" s="184"/>
      <c r="B543" s="224"/>
      <c r="C543" s="161"/>
      <c r="D543" s="161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4.0" customHeight="1">
      <c r="A544" s="184"/>
      <c r="B544" s="224"/>
      <c r="C544" s="161"/>
      <c r="D544" s="161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4.0" customHeight="1">
      <c r="A545" s="184"/>
      <c r="B545" s="224"/>
      <c r="C545" s="161"/>
      <c r="D545" s="161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4.0" customHeight="1">
      <c r="A546" s="184"/>
      <c r="B546" s="224"/>
      <c r="C546" s="161"/>
      <c r="D546" s="161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4.0" customHeight="1">
      <c r="A547" s="184"/>
      <c r="B547" s="224"/>
      <c r="C547" s="161"/>
      <c r="D547" s="161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4.0" customHeight="1">
      <c r="A548" s="184"/>
      <c r="B548" s="224"/>
      <c r="C548" s="161"/>
      <c r="D548" s="161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4.0" customHeight="1">
      <c r="A549" s="184"/>
      <c r="B549" s="224"/>
      <c r="C549" s="161"/>
      <c r="D549" s="161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4.0" customHeight="1">
      <c r="A550" s="184"/>
      <c r="B550" s="224"/>
      <c r="C550" s="161"/>
      <c r="D550" s="161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4.0" customHeight="1">
      <c r="A551" s="184"/>
      <c r="B551" s="224"/>
      <c r="C551" s="161"/>
      <c r="D551" s="161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4.0" customHeight="1">
      <c r="A552" s="184"/>
      <c r="B552" s="224"/>
      <c r="C552" s="161"/>
      <c r="D552" s="161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4.0" customHeight="1">
      <c r="A553" s="184"/>
      <c r="B553" s="224"/>
      <c r="C553" s="161"/>
      <c r="D553" s="161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4.0" customHeight="1">
      <c r="A554" s="184"/>
      <c r="B554" s="224"/>
      <c r="C554" s="161"/>
      <c r="D554" s="161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4.0" customHeight="1">
      <c r="A555" s="184"/>
      <c r="B555" s="224"/>
      <c r="C555" s="161"/>
      <c r="D555" s="161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4.0" customHeight="1">
      <c r="A556" s="184"/>
      <c r="B556" s="224"/>
      <c r="C556" s="161"/>
      <c r="D556" s="161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4.0" customHeight="1">
      <c r="A557" s="184"/>
      <c r="B557" s="224"/>
      <c r="C557" s="161"/>
      <c r="D557" s="161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4.0" customHeight="1">
      <c r="A558" s="184"/>
      <c r="B558" s="224"/>
      <c r="C558" s="161"/>
      <c r="D558" s="161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4.0" customHeight="1">
      <c r="A559" s="184"/>
      <c r="B559" s="224"/>
      <c r="C559" s="161"/>
      <c r="D559" s="161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4.0" customHeight="1">
      <c r="A560" s="184"/>
      <c r="B560" s="224"/>
      <c r="C560" s="161"/>
      <c r="D560" s="161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4.0" customHeight="1">
      <c r="A561" s="184"/>
      <c r="B561" s="224"/>
      <c r="C561" s="161"/>
      <c r="D561" s="161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4.0" customHeight="1">
      <c r="A562" s="184"/>
      <c r="B562" s="224"/>
      <c r="C562" s="161"/>
      <c r="D562" s="161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4.0" customHeight="1">
      <c r="A563" s="184"/>
      <c r="B563" s="224"/>
      <c r="C563" s="161"/>
      <c r="D563" s="161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4.0" customHeight="1">
      <c r="A564" s="184"/>
      <c r="B564" s="224"/>
      <c r="C564" s="161"/>
      <c r="D564" s="161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4.0" customHeight="1">
      <c r="A565" s="184"/>
      <c r="B565" s="224"/>
      <c r="C565" s="161"/>
      <c r="D565" s="161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4.0" customHeight="1">
      <c r="A566" s="184"/>
      <c r="B566" s="224"/>
      <c r="C566" s="161"/>
      <c r="D566" s="161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4.0" customHeight="1">
      <c r="A567" s="184"/>
      <c r="B567" s="224"/>
      <c r="C567" s="161"/>
      <c r="D567" s="161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4.0" customHeight="1">
      <c r="A568" s="184"/>
      <c r="B568" s="224"/>
      <c r="C568" s="161"/>
      <c r="D568" s="161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4.0" customHeight="1">
      <c r="A569" s="184"/>
      <c r="B569" s="224"/>
      <c r="C569" s="161"/>
      <c r="D569" s="161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4.0" customHeight="1">
      <c r="A570" s="184"/>
      <c r="B570" s="224"/>
      <c r="C570" s="161"/>
      <c r="D570" s="161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4.0" customHeight="1">
      <c r="A571" s="184"/>
      <c r="B571" s="224"/>
      <c r="C571" s="161"/>
      <c r="D571" s="161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4.0" customHeight="1">
      <c r="A572" s="184"/>
      <c r="B572" s="224"/>
      <c r="C572" s="161"/>
      <c r="D572" s="161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4.0" customHeight="1">
      <c r="A573" s="184"/>
      <c r="B573" s="224"/>
      <c r="C573" s="161"/>
      <c r="D573" s="161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4.0" customHeight="1">
      <c r="A574" s="184"/>
      <c r="B574" s="224"/>
      <c r="C574" s="161"/>
      <c r="D574" s="161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4.0" customHeight="1">
      <c r="A575" s="184"/>
      <c r="B575" s="224"/>
      <c r="C575" s="161"/>
      <c r="D575" s="161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4.0" customHeight="1">
      <c r="A576" s="184"/>
      <c r="B576" s="224"/>
      <c r="C576" s="161"/>
      <c r="D576" s="161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4.0" customHeight="1">
      <c r="A577" s="184"/>
      <c r="B577" s="224"/>
      <c r="C577" s="161"/>
      <c r="D577" s="161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4.0" customHeight="1">
      <c r="A578" s="184"/>
      <c r="B578" s="224"/>
      <c r="C578" s="161"/>
      <c r="D578" s="161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4.0" customHeight="1">
      <c r="A579" s="184"/>
      <c r="B579" s="224"/>
      <c r="C579" s="161"/>
      <c r="D579" s="161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4.0" customHeight="1">
      <c r="A580" s="184"/>
      <c r="B580" s="224"/>
      <c r="C580" s="161"/>
      <c r="D580" s="161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4.0" customHeight="1">
      <c r="A581" s="184"/>
      <c r="B581" s="224"/>
      <c r="C581" s="161"/>
      <c r="D581" s="161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4.0" customHeight="1">
      <c r="A582" s="184"/>
      <c r="B582" s="224"/>
      <c r="C582" s="161"/>
      <c r="D582" s="161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4.0" customHeight="1">
      <c r="A583" s="184"/>
      <c r="B583" s="224"/>
      <c r="C583" s="161"/>
      <c r="D583" s="161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4.0" customHeight="1">
      <c r="A584" s="184"/>
      <c r="B584" s="224"/>
      <c r="C584" s="161"/>
      <c r="D584" s="161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4.0" customHeight="1">
      <c r="A585" s="184"/>
      <c r="B585" s="224"/>
      <c r="C585" s="161"/>
      <c r="D585" s="161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4.0" customHeight="1">
      <c r="A586" s="184"/>
      <c r="B586" s="224"/>
      <c r="C586" s="161"/>
      <c r="D586" s="161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4.0" customHeight="1">
      <c r="A587" s="184"/>
      <c r="B587" s="224"/>
      <c r="C587" s="161"/>
      <c r="D587" s="161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4.0" customHeight="1">
      <c r="A588" s="184"/>
      <c r="B588" s="224"/>
      <c r="C588" s="161"/>
      <c r="D588" s="161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4.0" customHeight="1">
      <c r="A589" s="184"/>
      <c r="B589" s="224"/>
      <c r="C589" s="161"/>
      <c r="D589" s="161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4.0" customHeight="1">
      <c r="A590" s="184"/>
      <c r="B590" s="224"/>
      <c r="C590" s="161"/>
      <c r="D590" s="161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4.0" customHeight="1">
      <c r="A591" s="184"/>
      <c r="B591" s="224"/>
      <c r="C591" s="161"/>
      <c r="D591" s="161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4.0" customHeight="1">
      <c r="A592" s="184"/>
      <c r="B592" s="224"/>
      <c r="C592" s="161"/>
      <c r="D592" s="161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4.0" customHeight="1">
      <c r="A593" s="184"/>
      <c r="B593" s="224"/>
      <c r="C593" s="161"/>
      <c r="D593" s="161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4.0" customHeight="1">
      <c r="A594" s="184"/>
      <c r="B594" s="224"/>
      <c r="C594" s="161"/>
      <c r="D594" s="161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4.0" customHeight="1">
      <c r="A595" s="184"/>
      <c r="B595" s="224"/>
      <c r="C595" s="161"/>
      <c r="D595" s="161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4.0" customHeight="1">
      <c r="A596" s="184"/>
      <c r="B596" s="224"/>
      <c r="C596" s="161"/>
      <c r="D596" s="161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4.0" customHeight="1">
      <c r="A597" s="184"/>
      <c r="B597" s="224"/>
      <c r="C597" s="161"/>
      <c r="D597" s="161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4.0" customHeight="1">
      <c r="A598" s="184"/>
      <c r="B598" s="224"/>
      <c r="C598" s="161"/>
      <c r="D598" s="161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4.0" customHeight="1">
      <c r="A599" s="184"/>
      <c r="B599" s="224"/>
      <c r="C599" s="161"/>
      <c r="D599" s="161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4.0" customHeight="1">
      <c r="A600" s="184"/>
      <c r="B600" s="224"/>
      <c r="C600" s="161"/>
      <c r="D600" s="161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4.0" customHeight="1">
      <c r="A601" s="184"/>
      <c r="B601" s="224"/>
      <c r="C601" s="161"/>
      <c r="D601" s="161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4.0" customHeight="1">
      <c r="A602" s="184"/>
      <c r="B602" s="224"/>
      <c r="C602" s="161"/>
      <c r="D602" s="161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4.0" customHeight="1">
      <c r="A603" s="184"/>
      <c r="B603" s="224"/>
      <c r="C603" s="161"/>
      <c r="D603" s="161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4.0" customHeight="1">
      <c r="A604" s="184"/>
      <c r="B604" s="224"/>
      <c r="C604" s="161"/>
      <c r="D604" s="161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4.0" customHeight="1">
      <c r="A605" s="184"/>
      <c r="B605" s="224"/>
      <c r="C605" s="161"/>
      <c r="D605" s="161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4.0" customHeight="1">
      <c r="A606" s="184"/>
      <c r="B606" s="224"/>
      <c r="C606" s="161"/>
      <c r="D606" s="161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4.0" customHeight="1">
      <c r="A607" s="184"/>
      <c r="B607" s="224"/>
      <c r="C607" s="161"/>
      <c r="D607" s="161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4.0" customHeight="1">
      <c r="A608" s="184"/>
      <c r="B608" s="224"/>
      <c r="C608" s="161"/>
      <c r="D608" s="161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4.0" customHeight="1">
      <c r="A609" s="184"/>
      <c r="B609" s="224"/>
      <c r="C609" s="161"/>
      <c r="D609" s="161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4.0" customHeight="1">
      <c r="A610" s="184"/>
      <c r="B610" s="224"/>
      <c r="C610" s="161"/>
      <c r="D610" s="161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4.0" customHeight="1">
      <c r="A611" s="184"/>
      <c r="B611" s="224"/>
      <c r="C611" s="161"/>
      <c r="D611" s="161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4.0" customHeight="1">
      <c r="A612" s="184"/>
      <c r="B612" s="224"/>
      <c r="C612" s="161"/>
      <c r="D612" s="161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4.0" customHeight="1">
      <c r="A613" s="184"/>
      <c r="B613" s="224"/>
      <c r="C613" s="161"/>
      <c r="D613" s="161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4.0" customHeight="1">
      <c r="A614" s="184"/>
      <c r="B614" s="224"/>
      <c r="C614" s="161"/>
      <c r="D614" s="161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4.0" customHeight="1">
      <c r="A615" s="184"/>
      <c r="B615" s="224"/>
      <c r="C615" s="161"/>
      <c r="D615" s="161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4.0" customHeight="1">
      <c r="A616" s="184"/>
      <c r="B616" s="224"/>
      <c r="C616" s="161"/>
      <c r="D616" s="161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4.0" customHeight="1">
      <c r="A617" s="184"/>
      <c r="B617" s="224"/>
      <c r="C617" s="161"/>
      <c r="D617" s="161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4.0" customHeight="1">
      <c r="A618" s="184"/>
      <c r="B618" s="224"/>
      <c r="C618" s="161"/>
      <c r="D618" s="161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4.0" customHeight="1">
      <c r="A619" s="184"/>
      <c r="B619" s="224"/>
      <c r="C619" s="161"/>
      <c r="D619" s="161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4.0" customHeight="1">
      <c r="A620" s="184"/>
      <c r="B620" s="224"/>
      <c r="C620" s="161"/>
      <c r="D620" s="161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4.0" customHeight="1">
      <c r="A621" s="184"/>
      <c r="B621" s="224"/>
      <c r="C621" s="161"/>
      <c r="D621" s="161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4.0" customHeight="1">
      <c r="A622" s="184"/>
      <c r="B622" s="224"/>
      <c r="C622" s="161"/>
      <c r="D622" s="161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4.0" customHeight="1">
      <c r="A623" s="184"/>
      <c r="B623" s="224"/>
      <c r="C623" s="161"/>
      <c r="D623" s="161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4.0" customHeight="1">
      <c r="A624" s="184"/>
      <c r="B624" s="224"/>
      <c r="C624" s="161"/>
      <c r="D624" s="161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4.0" customHeight="1">
      <c r="A625" s="184"/>
      <c r="B625" s="224"/>
      <c r="C625" s="161"/>
      <c r="D625" s="161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4.0" customHeight="1">
      <c r="A626" s="184"/>
      <c r="B626" s="224"/>
      <c r="C626" s="161"/>
      <c r="D626" s="161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4.0" customHeight="1">
      <c r="A627" s="184"/>
      <c r="B627" s="224"/>
      <c r="C627" s="161"/>
      <c r="D627" s="161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4.0" customHeight="1">
      <c r="A628" s="184"/>
      <c r="B628" s="224"/>
      <c r="C628" s="161"/>
      <c r="D628" s="161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4.0" customHeight="1">
      <c r="A629" s="184"/>
      <c r="B629" s="224"/>
      <c r="C629" s="161"/>
      <c r="D629" s="161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4.0" customHeight="1">
      <c r="A630" s="184"/>
      <c r="B630" s="224"/>
      <c r="C630" s="161"/>
      <c r="D630" s="161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4.0" customHeight="1">
      <c r="A631" s="184"/>
      <c r="B631" s="224"/>
      <c r="C631" s="161"/>
      <c r="D631" s="161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4.0" customHeight="1">
      <c r="A632" s="184"/>
      <c r="B632" s="224"/>
      <c r="C632" s="161"/>
      <c r="D632" s="161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4.0" customHeight="1">
      <c r="A633" s="184"/>
      <c r="B633" s="224"/>
      <c r="C633" s="161"/>
      <c r="D633" s="161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4.0" customHeight="1">
      <c r="A634" s="184"/>
      <c r="B634" s="224"/>
      <c r="C634" s="161"/>
      <c r="D634" s="161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4.0" customHeight="1">
      <c r="A635" s="184"/>
      <c r="B635" s="224"/>
      <c r="C635" s="161"/>
      <c r="D635" s="161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4.0" customHeight="1">
      <c r="A636" s="184"/>
      <c r="B636" s="224"/>
      <c r="C636" s="161"/>
      <c r="D636" s="161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4.0" customHeight="1">
      <c r="A637" s="184"/>
      <c r="B637" s="224"/>
      <c r="C637" s="161"/>
      <c r="D637" s="161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4.0" customHeight="1">
      <c r="A638" s="184"/>
      <c r="B638" s="224"/>
      <c r="C638" s="161"/>
      <c r="D638" s="161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4.0" customHeight="1">
      <c r="A639" s="184"/>
      <c r="B639" s="224"/>
      <c r="C639" s="161"/>
      <c r="D639" s="161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4.0" customHeight="1">
      <c r="A640" s="184"/>
      <c r="B640" s="224"/>
      <c r="C640" s="161"/>
      <c r="D640" s="161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4.0" customHeight="1">
      <c r="A641" s="184"/>
      <c r="B641" s="224"/>
      <c r="C641" s="161"/>
      <c r="D641" s="161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4.0" customHeight="1">
      <c r="A642" s="184"/>
      <c r="B642" s="224"/>
      <c r="C642" s="161"/>
      <c r="D642" s="161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4.0" customHeight="1">
      <c r="A643" s="184"/>
      <c r="B643" s="224"/>
      <c r="C643" s="161"/>
      <c r="D643" s="161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4.0" customHeight="1">
      <c r="A644" s="184"/>
      <c r="B644" s="224"/>
      <c r="C644" s="161"/>
      <c r="D644" s="161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4.0" customHeight="1">
      <c r="A645" s="184"/>
      <c r="B645" s="224"/>
      <c r="C645" s="161"/>
      <c r="D645" s="161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4.0" customHeight="1">
      <c r="A646" s="184"/>
      <c r="B646" s="224"/>
      <c r="C646" s="161"/>
      <c r="D646" s="161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4.0" customHeight="1">
      <c r="A647" s="184"/>
      <c r="B647" s="224"/>
      <c r="C647" s="161"/>
      <c r="D647" s="161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4.0" customHeight="1">
      <c r="A648" s="184"/>
      <c r="B648" s="224"/>
      <c r="C648" s="161"/>
      <c r="D648" s="161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4.0" customHeight="1">
      <c r="A649" s="184"/>
      <c r="B649" s="224"/>
      <c r="C649" s="161"/>
      <c r="D649" s="161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4.0" customHeight="1">
      <c r="A650" s="184"/>
      <c r="B650" s="224"/>
      <c r="C650" s="161"/>
      <c r="D650" s="161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4.0" customHeight="1">
      <c r="A651" s="184"/>
      <c r="B651" s="224"/>
      <c r="C651" s="161"/>
      <c r="D651" s="161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4.0" customHeight="1">
      <c r="A652" s="184"/>
      <c r="B652" s="224"/>
      <c r="C652" s="161"/>
      <c r="D652" s="161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4.0" customHeight="1">
      <c r="A653" s="184"/>
      <c r="B653" s="224"/>
      <c r="C653" s="161"/>
      <c r="D653" s="161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4.0" customHeight="1">
      <c r="A654" s="184"/>
      <c r="B654" s="224"/>
      <c r="C654" s="161"/>
      <c r="D654" s="161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4.0" customHeight="1">
      <c r="A655" s="184"/>
      <c r="B655" s="224"/>
      <c r="C655" s="161"/>
      <c r="D655" s="161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4.0" customHeight="1">
      <c r="A656" s="184"/>
      <c r="B656" s="224"/>
      <c r="C656" s="161"/>
      <c r="D656" s="161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4.0" customHeight="1">
      <c r="A657" s="184"/>
      <c r="B657" s="224"/>
      <c r="C657" s="161"/>
      <c r="D657" s="161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4.0" customHeight="1">
      <c r="A658" s="184"/>
      <c r="B658" s="224"/>
      <c r="C658" s="161"/>
      <c r="D658" s="161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4.0" customHeight="1">
      <c r="A659" s="184"/>
      <c r="B659" s="224"/>
      <c r="C659" s="161"/>
      <c r="D659" s="161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4.0" customHeight="1">
      <c r="A660" s="184"/>
      <c r="B660" s="224"/>
      <c r="C660" s="161"/>
      <c r="D660" s="161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4.0" customHeight="1">
      <c r="A661" s="184"/>
      <c r="B661" s="224"/>
      <c r="C661" s="161"/>
      <c r="D661" s="161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4.0" customHeight="1">
      <c r="A662" s="184"/>
      <c r="B662" s="224"/>
      <c r="C662" s="161"/>
      <c r="D662" s="161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4.0" customHeight="1">
      <c r="A663" s="184"/>
      <c r="B663" s="224"/>
      <c r="C663" s="161"/>
      <c r="D663" s="161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4.0" customHeight="1">
      <c r="A664" s="184"/>
      <c r="B664" s="224"/>
      <c r="C664" s="161"/>
      <c r="D664" s="161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4.0" customHeight="1">
      <c r="A665" s="184"/>
      <c r="B665" s="224"/>
      <c r="C665" s="161"/>
      <c r="D665" s="161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4.0" customHeight="1">
      <c r="A666" s="184"/>
      <c r="B666" s="224"/>
      <c r="C666" s="161"/>
      <c r="D666" s="161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4.0" customHeight="1">
      <c r="A667" s="184"/>
      <c r="B667" s="224"/>
      <c r="C667" s="161"/>
      <c r="D667" s="161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4.0" customHeight="1">
      <c r="A668" s="184"/>
      <c r="B668" s="224"/>
      <c r="C668" s="161"/>
      <c r="D668" s="161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4.0" customHeight="1">
      <c r="A669" s="184"/>
      <c r="B669" s="224"/>
      <c r="C669" s="161"/>
      <c r="D669" s="161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4.0" customHeight="1">
      <c r="A670" s="184"/>
      <c r="B670" s="224"/>
      <c r="C670" s="161"/>
      <c r="D670" s="161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4.0" customHeight="1">
      <c r="A671" s="184"/>
      <c r="B671" s="224"/>
      <c r="C671" s="161"/>
      <c r="D671" s="161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4.0" customHeight="1">
      <c r="A672" s="184"/>
      <c r="B672" s="224"/>
      <c r="C672" s="161"/>
      <c r="D672" s="161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4.0" customHeight="1">
      <c r="A673" s="184"/>
      <c r="B673" s="224"/>
      <c r="C673" s="161"/>
      <c r="D673" s="161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4.0" customHeight="1">
      <c r="A674" s="184"/>
      <c r="B674" s="224"/>
      <c r="C674" s="161"/>
      <c r="D674" s="161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4.0" customHeight="1">
      <c r="A675" s="184"/>
      <c r="B675" s="224"/>
      <c r="C675" s="161"/>
      <c r="D675" s="161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4.0" customHeight="1">
      <c r="A676" s="184"/>
      <c r="B676" s="224"/>
      <c r="C676" s="161"/>
      <c r="D676" s="161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4.0" customHeight="1">
      <c r="A677" s="184"/>
      <c r="B677" s="224"/>
      <c r="C677" s="161"/>
      <c r="D677" s="161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4.0" customHeight="1">
      <c r="A678" s="184"/>
      <c r="B678" s="224"/>
      <c r="C678" s="161"/>
      <c r="D678" s="161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4.0" customHeight="1">
      <c r="A679" s="184"/>
      <c r="B679" s="224"/>
      <c r="C679" s="161"/>
      <c r="D679" s="161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4.0" customHeight="1">
      <c r="A680" s="184"/>
      <c r="B680" s="224"/>
      <c r="C680" s="161"/>
      <c r="D680" s="161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4.0" customHeight="1">
      <c r="A681" s="184"/>
      <c r="B681" s="224"/>
      <c r="C681" s="161"/>
      <c r="D681" s="161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4.0" customHeight="1">
      <c r="A682" s="184"/>
      <c r="B682" s="224"/>
      <c r="C682" s="161"/>
      <c r="D682" s="161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4.0" customHeight="1">
      <c r="A683" s="184"/>
      <c r="B683" s="224"/>
      <c r="C683" s="161"/>
      <c r="D683" s="161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4.0" customHeight="1">
      <c r="A684" s="184"/>
      <c r="B684" s="224"/>
      <c r="C684" s="161"/>
      <c r="D684" s="161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4.0" customHeight="1">
      <c r="A685" s="184"/>
      <c r="B685" s="224"/>
      <c r="C685" s="161"/>
      <c r="D685" s="161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4.0" customHeight="1">
      <c r="A686" s="184"/>
      <c r="B686" s="224"/>
      <c r="C686" s="161"/>
      <c r="D686" s="161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4.0" customHeight="1">
      <c r="A687" s="184"/>
      <c r="B687" s="224"/>
      <c r="C687" s="161"/>
      <c r="D687" s="161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4.0" customHeight="1">
      <c r="A688" s="184"/>
      <c r="B688" s="224"/>
      <c r="C688" s="161"/>
      <c r="D688" s="161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4.0" customHeight="1">
      <c r="A689" s="184"/>
      <c r="B689" s="224"/>
      <c r="C689" s="161"/>
      <c r="D689" s="161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4.0" customHeight="1">
      <c r="A690" s="184"/>
      <c r="B690" s="224"/>
      <c r="C690" s="161"/>
      <c r="D690" s="161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4.0" customHeight="1">
      <c r="A691" s="184"/>
      <c r="B691" s="224"/>
      <c r="C691" s="161"/>
      <c r="D691" s="161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4.0" customHeight="1">
      <c r="A692" s="184"/>
      <c r="B692" s="224"/>
      <c r="C692" s="161"/>
      <c r="D692" s="161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4.0" customHeight="1">
      <c r="A693" s="184"/>
      <c r="B693" s="224"/>
      <c r="C693" s="161"/>
      <c r="D693" s="161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4.0" customHeight="1">
      <c r="A694" s="184"/>
      <c r="B694" s="224"/>
      <c r="C694" s="161"/>
      <c r="D694" s="161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4.0" customHeight="1">
      <c r="A695" s="184"/>
      <c r="B695" s="224"/>
      <c r="C695" s="161"/>
      <c r="D695" s="161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4.0" customHeight="1">
      <c r="A696" s="184"/>
      <c r="B696" s="224"/>
      <c r="C696" s="161"/>
      <c r="D696" s="161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4.0" customHeight="1">
      <c r="A697" s="184"/>
      <c r="B697" s="224"/>
      <c r="C697" s="161"/>
      <c r="D697" s="161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4.0" customHeight="1">
      <c r="A698" s="184"/>
      <c r="B698" s="224"/>
      <c r="C698" s="161"/>
      <c r="D698" s="161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4.0" customHeight="1">
      <c r="A699" s="184"/>
      <c r="B699" s="224"/>
      <c r="C699" s="161"/>
      <c r="D699" s="161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4.0" customHeight="1">
      <c r="A700" s="184"/>
      <c r="B700" s="224"/>
      <c r="C700" s="161"/>
      <c r="D700" s="161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4.0" customHeight="1">
      <c r="A701" s="184"/>
      <c r="B701" s="224"/>
      <c r="C701" s="161"/>
      <c r="D701" s="161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4.0" customHeight="1">
      <c r="A702" s="184"/>
      <c r="B702" s="224"/>
      <c r="C702" s="161"/>
      <c r="D702" s="161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4.0" customHeight="1">
      <c r="A703" s="184"/>
      <c r="B703" s="224"/>
      <c r="C703" s="161"/>
      <c r="D703" s="161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4.0" customHeight="1">
      <c r="A704" s="184"/>
      <c r="B704" s="224"/>
      <c r="C704" s="161"/>
      <c r="D704" s="161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4.0" customHeight="1">
      <c r="A705" s="184"/>
      <c r="B705" s="224"/>
      <c r="C705" s="161"/>
      <c r="D705" s="161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4.0" customHeight="1">
      <c r="A706" s="184"/>
      <c r="B706" s="224"/>
      <c r="C706" s="161"/>
      <c r="D706" s="161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4.0" customHeight="1">
      <c r="A707" s="184"/>
      <c r="B707" s="224"/>
      <c r="C707" s="161"/>
      <c r="D707" s="161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4.0" customHeight="1">
      <c r="A708" s="184"/>
      <c r="B708" s="224"/>
      <c r="C708" s="161"/>
      <c r="D708" s="161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4.0" customHeight="1">
      <c r="A709" s="184"/>
      <c r="B709" s="224"/>
      <c r="C709" s="161"/>
      <c r="D709" s="161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4.0" customHeight="1">
      <c r="A710" s="184"/>
      <c r="B710" s="224"/>
      <c r="C710" s="161"/>
      <c r="D710" s="161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4.0" customHeight="1">
      <c r="A711" s="184"/>
      <c r="B711" s="224"/>
      <c r="C711" s="161"/>
      <c r="D711" s="161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4.0" customHeight="1">
      <c r="A712" s="184"/>
      <c r="B712" s="224"/>
      <c r="C712" s="161"/>
      <c r="D712" s="161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4.0" customHeight="1">
      <c r="A713" s="184"/>
      <c r="B713" s="224"/>
      <c r="C713" s="161"/>
      <c r="D713" s="161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4.0" customHeight="1">
      <c r="A714" s="184"/>
      <c r="B714" s="224"/>
      <c r="C714" s="161"/>
      <c r="D714" s="161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4.0" customHeight="1">
      <c r="A715" s="184"/>
      <c r="B715" s="224"/>
      <c r="C715" s="161"/>
      <c r="D715" s="161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4.0" customHeight="1">
      <c r="A716" s="184"/>
      <c r="B716" s="224"/>
      <c r="C716" s="161"/>
      <c r="D716" s="161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4.0" customHeight="1">
      <c r="A717" s="184"/>
      <c r="B717" s="224"/>
      <c r="C717" s="161"/>
      <c r="D717" s="161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4.0" customHeight="1">
      <c r="A718" s="184"/>
      <c r="B718" s="224"/>
      <c r="C718" s="161"/>
      <c r="D718" s="161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4.0" customHeight="1">
      <c r="A719" s="184"/>
      <c r="B719" s="224"/>
      <c r="C719" s="161"/>
      <c r="D719" s="161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4.0" customHeight="1">
      <c r="A720" s="184"/>
      <c r="B720" s="224"/>
      <c r="C720" s="161"/>
      <c r="D720" s="161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4.0" customHeight="1">
      <c r="A721" s="184"/>
      <c r="B721" s="224"/>
      <c r="C721" s="161"/>
      <c r="D721" s="161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4.0" customHeight="1">
      <c r="A722" s="184"/>
      <c r="B722" s="224"/>
      <c r="C722" s="161"/>
      <c r="D722" s="161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4.0" customHeight="1">
      <c r="A723" s="184"/>
      <c r="B723" s="224"/>
      <c r="C723" s="161"/>
      <c r="D723" s="161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4.0" customHeight="1">
      <c r="A724" s="184"/>
      <c r="B724" s="224"/>
      <c r="C724" s="161"/>
      <c r="D724" s="161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4.0" customHeight="1">
      <c r="A725" s="184"/>
      <c r="B725" s="224"/>
      <c r="C725" s="161"/>
      <c r="D725" s="161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4.0" customHeight="1">
      <c r="A726" s="184"/>
      <c r="B726" s="224"/>
      <c r="C726" s="161"/>
      <c r="D726" s="161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4.0" customHeight="1">
      <c r="A727" s="184"/>
      <c r="B727" s="224"/>
      <c r="C727" s="161"/>
      <c r="D727" s="161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4.0" customHeight="1">
      <c r="A728" s="184"/>
      <c r="B728" s="224"/>
      <c r="C728" s="161"/>
      <c r="D728" s="161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4.0" customHeight="1">
      <c r="A729" s="184"/>
      <c r="B729" s="224"/>
      <c r="C729" s="161"/>
      <c r="D729" s="161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4.0" customHeight="1">
      <c r="A730" s="184"/>
      <c r="B730" s="224"/>
      <c r="C730" s="161"/>
      <c r="D730" s="161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4.0" customHeight="1">
      <c r="A731" s="184"/>
      <c r="B731" s="224"/>
      <c r="C731" s="161"/>
      <c r="D731" s="161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4.0" customHeight="1">
      <c r="A732" s="184"/>
      <c r="B732" s="224"/>
      <c r="C732" s="161"/>
      <c r="D732" s="161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4.0" customHeight="1">
      <c r="A733" s="184"/>
      <c r="B733" s="224"/>
      <c r="C733" s="161"/>
      <c r="D733" s="161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4.0" customHeight="1">
      <c r="A734" s="184"/>
      <c r="B734" s="224"/>
      <c r="C734" s="161"/>
      <c r="D734" s="161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4.0" customHeight="1">
      <c r="A735" s="184"/>
      <c r="B735" s="224"/>
      <c r="C735" s="161"/>
      <c r="D735" s="161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4.0" customHeight="1">
      <c r="A736" s="184"/>
      <c r="B736" s="224"/>
      <c r="C736" s="161"/>
      <c r="D736" s="161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4.0" customHeight="1">
      <c r="A737" s="184"/>
      <c r="B737" s="224"/>
      <c r="C737" s="161"/>
      <c r="D737" s="161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4.0" customHeight="1">
      <c r="A738" s="184"/>
      <c r="B738" s="224"/>
      <c r="C738" s="161"/>
      <c r="D738" s="161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4.0" customHeight="1">
      <c r="A739" s="184"/>
      <c r="B739" s="224"/>
      <c r="C739" s="161"/>
      <c r="D739" s="161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4.0" customHeight="1">
      <c r="A740" s="184"/>
      <c r="B740" s="224"/>
      <c r="C740" s="161"/>
      <c r="D740" s="161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4.0" customHeight="1">
      <c r="A741" s="184"/>
      <c r="B741" s="224"/>
      <c r="C741" s="161"/>
      <c r="D741" s="161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4.0" customHeight="1">
      <c r="A742" s="184"/>
      <c r="B742" s="224"/>
      <c r="C742" s="161"/>
      <c r="D742" s="161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4.0" customHeight="1">
      <c r="A743" s="184"/>
      <c r="B743" s="224"/>
      <c r="C743" s="161"/>
      <c r="D743" s="161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4.0" customHeight="1">
      <c r="A744" s="184"/>
      <c r="B744" s="224"/>
      <c r="C744" s="161"/>
      <c r="D744" s="161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4.0" customHeight="1">
      <c r="A745" s="184"/>
      <c r="B745" s="224"/>
      <c r="C745" s="161"/>
      <c r="D745" s="161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4.0" customHeight="1">
      <c r="A746" s="184"/>
      <c r="B746" s="224"/>
      <c r="C746" s="161"/>
      <c r="D746" s="161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4.0" customHeight="1">
      <c r="A747" s="184"/>
      <c r="B747" s="224"/>
      <c r="C747" s="161"/>
      <c r="D747" s="161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4.0" customHeight="1">
      <c r="A748" s="184"/>
      <c r="B748" s="224"/>
      <c r="C748" s="161"/>
      <c r="D748" s="161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4.0" customHeight="1">
      <c r="A749" s="184"/>
      <c r="B749" s="224"/>
      <c r="C749" s="161"/>
      <c r="D749" s="161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4.0" customHeight="1">
      <c r="A750" s="184"/>
      <c r="B750" s="224"/>
      <c r="C750" s="161"/>
      <c r="D750" s="161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4.0" customHeight="1">
      <c r="A751" s="184"/>
      <c r="B751" s="224"/>
      <c r="C751" s="161"/>
      <c r="D751" s="161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4.0" customHeight="1">
      <c r="A752" s="184"/>
      <c r="B752" s="224"/>
      <c r="C752" s="161"/>
      <c r="D752" s="161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4.0" customHeight="1">
      <c r="A753" s="184"/>
      <c r="B753" s="224"/>
      <c r="C753" s="161"/>
      <c r="D753" s="161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4.0" customHeight="1">
      <c r="A754" s="184"/>
      <c r="B754" s="224"/>
      <c r="C754" s="161"/>
      <c r="D754" s="161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4.0" customHeight="1">
      <c r="A755" s="184"/>
      <c r="B755" s="224"/>
      <c r="C755" s="161"/>
      <c r="D755" s="161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4.0" customHeight="1">
      <c r="A756" s="184"/>
      <c r="B756" s="224"/>
      <c r="C756" s="161"/>
      <c r="D756" s="161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4.0" customHeight="1">
      <c r="A757" s="184"/>
      <c r="B757" s="224"/>
      <c r="C757" s="161"/>
      <c r="D757" s="161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4.0" customHeight="1">
      <c r="A758" s="184"/>
      <c r="B758" s="224"/>
      <c r="C758" s="161"/>
      <c r="D758" s="161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4.0" customHeight="1">
      <c r="A759" s="184"/>
      <c r="B759" s="224"/>
      <c r="C759" s="161"/>
      <c r="D759" s="161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4.0" customHeight="1">
      <c r="A760" s="184"/>
      <c r="B760" s="224"/>
      <c r="C760" s="161"/>
      <c r="D760" s="161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4.0" customHeight="1">
      <c r="A761" s="184"/>
      <c r="B761" s="224"/>
      <c r="C761" s="161"/>
      <c r="D761" s="161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4.0" customHeight="1">
      <c r="A762" s="184"/>
      <c r="B762" s="224"/>
      <c r="C762" s="161"/>
      <c r="D762" s="161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4.0" customHeight="1">
      <c r="A763" s="184"/>
      <c r="B763" s="224"/>
      <c r="C763" s="161"/>
      <c r="D763" s="161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4.0" customHeight="1">
      <c r="A764" s="184"/>
      <c r="B764" s="224"/>
      <c r="C764" s="161"/>
      <c r="D764" s="161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4.0" customHeight="1">
      <c r="A765" s="184"/>
      <c r="B765" s="224"/>
      <c r="C765" s="161"/>
      <c r="D765" s="161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4.0" customHeight="1">
      <c r="A766" s="184"/>
      <c r="B766" s="224"/>
      <c r="C766" s="161"/>
      <c r="D766" s="161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4.0" customHeight="1">
      <c r="A767" s="184"/>
      <c r="B767" s="224"/>
      <c r="C767" s="161"/>
      <c r="D767" s="161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4.0" customHeight="1">
      <c r="A768" s="184"/>
      <c r="B768" s="224"/>
      <c r="C768" s="161"/>
      <c r="D768" s="161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4.0" customHeight="1">
      <c r="A769" s="184"/>
      <c r="B769" s="224"/>
      <c r="C769" s="161"/>
      <c r="D769" s="161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4.0" customHeight="1">
      <c r="A770" s="184"/>
      <c r="B770" s="224"/>
      <c r="C770" s="161"/>
      <c r="D770" s="161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4.0" customHeight="1">
      <c r="A771" s="184"/>
      <c r="B771" s="224"/>
      <c r="C771" s="161"/>
      <c r="D771" s="161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4.0" customHeight="1">
      <c r="A772" s="184"/>
      <c r="B772" s="224"/>
      <c r="C772" s="161"/>
      <c r="D772" s="161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4.0" customHeight="1">
      <c r="A773" s="184"/>
      <c r="B773" s="224"/>
      <c r="C773" s="161"/>
      <c r="D773" s="161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4.0" customHeight="1">
      <c r="A774" s="184"/>
      <c r="B774" s="224"/>
      <c r="C774" s="161"/>
      <c r="D774" s="161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4.0" customHeight="1">
      <c r="A775" s="184"/>
      <c r="B775" s="224"/>
      <c r="C775" s="161"/>
      <c r="D775" s="161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4.0" customHeight="1">
      <c r="A776" s="184"/>
      <c r="B776" s="224"/>
      <c r="C776" s="161"/>
      <c r="D776" s="161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4.0" customHeight="1">
      <c r="A777" s="184"/>
      <c r="B777" s="224"/>
      <c r="C777" s="161"/>
      <c r="D777" s="161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4.0" customHeight="1">
      <c r="A778" s="184"/>
      <c r="B778" s="224"/>
      <c r="C778" s="161"/>
      <c r="D778" s="161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4.0" customHeight="1">
      <c r="A779" s="184"/>
      <c r="B779" s="224"/>
      <c r="C779" s="161"/>
      <c r="D779" s="161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4.0" customHeight="1">
      <c r="A780" s="184"/>
      <c r="B780" s="224"/>
      <c r="C780" s="161"/>
      <c r="D780" s="161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4.0" customHeight="1">
      <c r="A781" s="184"/>
      <c r="B781" s="224"/>
      <c r="C781" s="161"/>
      <c r="D781" s="161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4.0" customHeight="1">
      <c r="A782" s="184"/>
      <c r="B782" s="224"/>
      <c r="C782" s="161"/>
      <c r="D782" s="161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4.0" customHeight="1">
      <c r="A783" s="184"/>
      <c r="B783" s="224"/>
      <c r="C783" s="161"/>
      <c r="D783" s="161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4.0" customHeight="1">
      <c r="A784" s="184"/>
      <c r="B784" s="224"/>
      <c r="C784" s="161"/>
      <c r="D784" s="161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4.0" customHeight="1">
      <c r="A785" s="184"/>
      <c r="B785" s="224"/>
      <c r="C785" s="161"/>
      <c r="D785" s="161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4.0" customHeight="1">
      <c r="A786" s="184"/>
      <c r="B786" s="224"/>
      <c r="C786" s="161"/>
      <c r="D786" s="161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4.0" customHeight="1">
      <c r="A787" s="184"/>
      <c r="B787" s="224"/>
      <c r="C787" s="161"/>
      <c r="D787" s="161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4.0" customHeight="1">
      <c r="A788" s="184"/>
      <c r="B788" s="224"/>
      <c r="C788" s="161"/>
      <c r="D788" s="161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4.0" customHeight="1">
      <c r="A789" s="184"/>
      <c r="B789" s="224"/>
      <c r="C789" s="161"/>
      <c r="D789" s="161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4.0" customHeight="1">
      <c r="A790" s="184"/>
      <c r="B790" s="224"/>
      <c r="C790" s="161"/>
      <c r="D790" s="161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4.0" customHeight="1">
      <c r="A791" s="184"/>
      <c r="B791" s="224"/>
      <c r="C791" s="161"/>
      <c r="D791" s="161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4.0" customHeight="1">
      <c r="A792" s="184"/>
      <c r="B792" s="224"/>
      <c r="C792" s="161"/>
      <c r="D792" s="161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4.0" customHeight="1">
      <c r="A793" s="184"/>
      <c r="B793" s="224"/>
      <c r="C793" s="161"/>
      <c r="D793" s="161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4.0" customHeight="1">
      <c r="A794" s="184"/>
      <c r="B794" s="224"/>
      <c r="C794" s="161"/>
      <c r="D794" s="161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4.0" customHeight="1">
      <c r="A795" s="184"/>
      <c r="B795" s="224"/>
      <c r="C795" s="161"/>
      <c r="D795" s="161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4.0" customHeight="1">
      <c r="A796" s="184"/>
      <c r="B796" s="224"/>
      <c r="C796" s="161"/>
      <c r="D796" s="161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4.0" customHeight="1">
      <c r="A797" s="184"/>
      <c r="B797" s="224"/>
      <c r="C797" s="161"/>
      <c r="D797" s="161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4.0" customHeight="1">
      <c r="A798" s="184"/>
      <c r="B798" s="224"/>
      <c r="C798" s="161"/>
      <c r="D798" s="161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4.0" customHeight="1">
      <c r="A799" s="184"/>
      <c r="B799" s="224"/>
      <c r="C799" s="161"/>
      <c r="D799" s="161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4.0" customHeight="1">
      <c r="A800" s="184"/>
      <c r="B800" s="224"/>
      <c r="C800" s="161"/>
      <c r="D800" s="161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4.0" customHeight="1">
      <c r="A801" s="184"/>
      <c r="B801" s="224"/>
      <c r="C801" s="161"/>
      <c r="D801" s="161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4.0" customHeight="1">
      <c r="A802" s="184"/>
      <c r="B802" s="224"/>
      <c r="C802" s="161"/>
      <c r="D802" s="161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4.0" customHeight="1">
      <c r="A803" s="184"/>
      <c r="B803" s="224"/>
      <c r="C803" s="161"/>
      <c r="D803" s="161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4.0" customHeight="1">
      <c r="A804" s="184"/>
      <c r="B804" s="224"/>
      <c r="C804" s="161"/>
      <c r="D804" s="161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4.0" customHeight="1">
      <c r="A805" s="184"/>
      <c r="B805" s="224"/>
      <c r="C805" s="161"/>
      <c r="D805" s="161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4.0" customHeight="1">
      <c r="A806" s="184"/>
      <c r="B806" s="224"/>
      <c r="C806" s="161"/>
      <c r="D806" s="161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4.0" customHeight="1">
      <c r="A807" s="184"/>
      <c r="B807" s="224"/>
      <c r="C807" s="161"/>
      <c r="D807" s="161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4.0" customHeight="1">
      <c r="A808" s="184"/>
      <c r="B808" s="224"/>
      <c r="C808" s="161"/>
      <c r="D808" s="161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4.0" customHeight="1">
      <c r="A809" s="184"/>
      <c r="B809" s="224"/>
      <c r="C809" s="161"/>
      <c r="D809" s="161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4.0" customHeight="1">
      <c r="A810" s="184"/>
      <c r="B810" s="224"/>
      <c r="C810" s="161"/>
      <c r="D810" s="161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4.0" customHeight="1">
      <c r="A811" s="184"/>
      <c r="B811" s="224"/>
      <c r="C811" s="161"/>
      <c r="D811" s="161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4.0" customHeight="1">
      <c r="A812" s="184"/>
      <c r="B812" s="224"/>
      <c r="C812" s="161"/>
      <c r="D812" s="161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4.0" customHeight="1">
      <c r="A813" s="184"/>
      <c r="B813" s="224"/>
      <c r="C813" s="161"/>
      <c r="D813" s="161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4.0" customHeight="1">
      <c r="A814" s="184"/>
      <c r="B814" s="224"/>
      <c r="C814" s="161"/>
      <c r="D814" s="161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4.0" customHeight="1">
      <c r="A815" s="184"/>
      <c r="B815" s="224"/>
      <c r="C815" s="161"/>
      <c r="D815" s="161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4.0" customHeight="1">
      <c r="A816" s="184"/>
      <c r="B816" s="224"/>
      <c r="C816" s="161"/>
      <c r="D816" s="161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4.0" customHeight="1">
      <c r="A817" s="184"/>
      <c r="B817" s="224"/>
      <c r="C817" s="161"/>
      <c r="D817" s="161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4.0" customHeight="1">
      <c r="A818" s="184"/>
      <c r="B818" s="224"/>
      <c r="C818" s="161"/>
      <c r="D818" s="161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4.0" customHeight="1">
      <c r="A819" s="184"/>
      <c r="B819" s="224"/>
      <c r="C819" s="161"/>
      <c r="D819" s="161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4.0" customHeight="1">
      <c r="A820" s="184"/>
      <c r="B820" s="224"/>
      <c r="C820" s="161"/>
      <c r="D820" s="161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4.0" customHeight="1">
      <c r="A821" s="184"/>
      <c r="B821" s="224"/>
      <c r="C821" s="161"/>
      <c r="D821" s="161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4.0" customHeight="1">
      <c r="A822" s="184"/>
      <c r="B822" s="224"/>
      <c r="C822" s="161"/>
      <c r="D822" s="161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4.0" customHeight="1">
      <c r="A823" s="184"/>
      <c r="B823" s="224"/>
      <c r="C823" s="161"/>
      <c r="D823" s="161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4.0" customHeight="1">
      <c r="A824" s="184"/>
      <c r="B824" s="224"/>
      <c r="C824" s="161"/>
      <c r="D824" s="161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4.0" customHeight="1">
      <c r="A825" s="184"/>
      <c r="B825" s="224"/>
      <c r="C825" s="161"/>
      <c r="D825" s="161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4.0" customHeight="1">
      <c r="A826" s="184"/>
      <c r="B826" s="224"/>
      <c r="C826" s="161"/>
      <c r="D826" s="161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4.0" customHeight="1">
      <c r="A827" s="184"/>
      <c r="B827" s="224"/>
      <c r="C827" s="161"/>
      <c r="D827" s="161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4.0" customHeight="1">
      <c r="A828" s="184"/>
      <c r="B828" s="224"/>
      <c r="C828" s="161"/>
      <c r="D828" s="161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4.0" customHeight="1">
      <c r="A829" s="184"/>
      <c r="B829" s="224"/>
      <c r="C829" s="161"/>
      <c r="D829" s="161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4.0" customHeight="1">
      <c r="A830" s="184"/>
      <c r="B830" s="224"/>
      <c r="C830" s="161"/>
      <c r="D830" s="161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4.0" customHeight="1">
      <c r="A831" s="184"/>
      <c r="B831" s="224"/>
      <c r="C831" s="161"/>
      <c r="D831" s="161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4.0" customHeight="1">
      <c r="A832" s="184"/>
      <c r="B832" s="224"/>
      <c r="C832" s="161"/>
      <c r="D832" s="161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4.0" customHeight="1">
      <c r="A833" s="184"/>
      <c r="B833" s="224"/>
      <c r="C833" s="161"/>
      <c r="D833" s="161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4.0" customHeight="1">
      <c r="A834" s="184"/>
      <c r="B834" s="224"/>
      <c r="C834" s="161"/>
      <c r="D834" s="161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4.0" customHeight="1">
      <c r="A835" s="184"/>
      <c r="B835" s="224"/>
      <c r="C835" s="161"/>
      <c r="D835" s="161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4.0" customHeight="1">
      <c r="A836" s="184"/>
      <c r="B836" s="224"/>
      <c r="C836" s="161"/>
      <c r="D836" s="161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4.0" customHeight="1">
      <c r="A837" s="184"/>
      <c r="B837" s="224"/>
      <c r="C837" s="161"/>
      <c r="D837" s="161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4.0" customHeight="1">
      <c r="A838" s="184"/>
      <c r="B838" s="224"/>
      <c r="C838" s="161"/>
      <c r="D838" s="161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4.0" customHeight="1">
      <c r="A839" s="184"/>
      <c r="B839" s="224"/>
      <c r="C839" s="161"/>
      <c r="D839" s="161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4.0" customHeight="1">
      <c r="A840" s="184"/>
      <c r="B840" s="224"/>
      <c r="C840" s="161"/>
      <c r="D840" s="161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4.0" customHeight="1">
      <c r="A841" s="184"/>
      <c r="B841" s="224"/>
      <c r="C841" s="161"/>
      <c r="D841" s="161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4.0" customHeight="1">
      <c r="A842" s="184"/>
      <c r="B842" s="224"/>
      <c r="C842" s="161"/>
      <c r="D842" s="161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4.0" customHeight="1">
      <c r="A843" s="184"/>
      <c r="B843" s="224"/>
      <c r="C843" s="161"/>
      <c r="D843" s="161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4.0" customHeight="1">
      <c r="A844" s="184"/>
      <c r="B844" s="224"/>
      <c r="C844" s="161"/>
      <c r="D844" s="161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4.0" customHeight="1">
      <c r="A845" s="184"/>
      <c r="B845" s="224"/>
      <c r="C845" s="161"/>
      <c r="D845" s="161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4.0" customHeight="1">
      <c r="A846" s="184"/>
      <c r="B846" s="224"/>
      <c r="C846" s="161"/>
      <c r="D846" s="161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4.0" customHeight="1">
      <c r="A847" s="184"/>
      <c r="B847" s="224"/>
      <c r="C847" s="161"/>
      <c r="D847" s="161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4.0" customHeight="1">
      <c r="A848" s="184"/>
      <c r="B848" s="224"/>
      <c r="C848" s="161"/>
      <c r="D848" s="161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4.0" customHeight="1">
      <c r="A849" s="184"/>
      <c r="B849" s="224"/>
      <c r="C849" s="161"/>
      <c r="D849" s="161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4.0" customHeight="1">
      <c r="A850" s="184"/>
      <c r="B850" s="224"/>
      <c r="C850" s="161"/>
      <c r="D850" s="161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4.0" customHeight="1">
      <c r="A851" s="184"/>
      <c r="B851" s="224"/>
      <c r="C851" s="161"/>
      <c r="D851" s="161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4.0" customHeight="1">
      <c r="A852" s="184"/>
      <c r="B852" s="224"/>
      <c r="C852" s="161"/>
      <c r="D852" s="161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4.0" customHeight="1">
      <c r="A853" s="184"/>
      <c r="B853" s="224"/>
      <c r="C853" s="161"/>
      <c r="D853" s="161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4.0" customHeight="1">
      <c r="A854" s="184"/>
      <c r="B854" s="224"/>
      <c r="C854" s="161"/>
      <c r="D854" s="161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4.0" customHeight="1">
      <c r="A855" s="184"/>
      <c r="B855" s="224"/>
      <c r="C855" s="161"/>
      <c r="D855" s="161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4.0" customHeight="1">
      <c r="A856" s="184"/>
      <c r="B856" s="224"/>
      <c r="C856" s="161"/>
      <c r="D856" s="161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4.0" customHeight="1">
      <c r="A857" s="184"/>
      <c r="B857" s="224"/>
      <c r="C857" s="161"/>
      <c r="D857" s="161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4.0" customHeight="1">
      <c r="A858" s="184"/>
      <c r="B858" s="224"/>
      <c r="C858" s="161"/>
      <c r="D858" s="161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4.0" customHeight="1">
      <c r="A859" s="184"/>
      <c r="B859" s="224"/>
      <c r="C859" s="161"/>
      <c r="D859" s="161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4.0" customHeight="1">
      <c r="A860" s="184"/>
      <c r="B860" s="224"/>
      <c r="C860" s="161"/>
      <c r="D860" s="161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4.0" customHeight="1">
      <c r="A861" s="184"/>
      <c r="B861" s="224"/>
      <c r="C861" s="161"/>
      <c r="D861" s="161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4.0" customHeight="1">
      <c r="A862" s="184"/>
      <c r="B862" s="224"/>
      <c r="C862" s="161"/>
      <c r="D862" s="161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4.0" customHeight="1">
      <c r="A863" s="184"/>
      <c r="B863" s="224"/>
      <c r="C863" s="161"/>
      <c r="D863" s="161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4.0" customHeight="1">
      <c r="A864" s="184"/>
      <c r="B864" s="224"/>
      <c r="C864" s="161"/>
      <c r="D864" s="161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4.0" customHeight="1">
      <c r="A865" s="184"/>
      <c r="B865" s="224"/>
      <c r="C865" s="161"/>
      <c r="D865" s="161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4.0" customHeight="1">
      <c r="A866" s="184"/>
      <c r="B866" s="224"/>
      <c r="C866" s="161"/>
      <c r="D866" s="161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4.0" customHeight="1">
      <c r="A867" s="184"/>
      <c r="B867" s="224"/>
      <c r="C867" s="161"/>
      <c r="D867" s="161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4.0" customHeight="1">
      <c r="A868" s="184"/>
      <c r="B868" s="224"/>
      <c r="C868" s="161"/>
      <c r="D868" s="161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4.0" customHeight="1">
      <c r="A869" s="184"/>
      <c r="B869" s="224"/>
      <c r="C869" s="161"/>
      <c r="D869" s="161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4.0" customHeight="1">
      <c r="A870" s="184"/>
      <c r="B870" s="224"/>
      <c r="C870" s="161"/>
      <c r="D870" s="161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4.0" customHeight="1">
      <c r="A871" s="184"/>
      <c r="B871" s="224"/>
      <c r="C871" s="161"/>
      <c r="D871" s="161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4.0" customHeight="1">
      <c r="A872" s="184"/>
      <c r="B872" s="224"/>
      <c r="C872" s="161"/>
      <c r="D872" s="161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4.0" customHeight="1">
      <c r="A873" s="184"/>
      <c r="B873" s="224"/>
      <c r="C873" s="161"/>
      <c r="D873" s="161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4.0" customHeight="1">
      <c r="A874" s="184"/>
      <c r="B874" s="224"/>
      <c r="C874" s="161"/>
      <c r="D874" s="161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4.0" customHeight="1">
      <c r="A875" s="184"/>
      <c r="B875" s="224"/>
      <c r="C875" s="161"/>
      <c r="D875" s="161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4.0" customHeight="1">
      <c r="A876" s="184"/>
      <c r="B876" s="224"/>
      <c r="C876" s="161"/>
      <c r="D876" s="161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4.0" customHeight="1">
      <c r="A877" s="184"/>
      <c r="B877" s="224"/>
      <c r="C877" s="161"/>
      <c r="D877" s="161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4.0" customHeight="1">
      <c r="A878" s="184"/>
      <c r="B878" s="224"/>
      <c r="C878" s="161"/>
      <c r="D878" s="161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4.0" customHeight="1">
      <c r="A879" s="184"/>
      <c r="B879" s="224"/>
      <c r="C879" s="161"/>
      <c r="D879" s="161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4.0" customHeight="1">
      <c r="A880" s="184"/>
      <c r="B880" s="224"/>
      <c r="C880" s="161"/>
      <c r="D880" s="161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4.0" customHeight="1">
      <c r="A881" s="184"/>
      <c r="B881" s="224"/>
      <c r="C881" s="161"/>
      <c r="D881" s="161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4.0" customHeight="1">
      <c r="A882" s="184"/>
      <c r="B882" s="224"/>
      <c r="C882" s="161"/>
      <c r="D882" s="161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4.0" customHeight="1">
      <c r="A883" s="184"/>
      <c r="B883" s="224"/>
      <c r="C883" s="161"/>
      <c r="D883" s="161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4.0" customHeight="1">
      <c r="A884" s="184"/>
      <c r="B884" s="224"/>
      <c r="C884" s="161"/>
      <c r="D884" s="161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4.0" customHeight="1">
      <c r="A885" s="184"/>
      <c r="B885" s="224"/>
      <c r="C885" s="161"/>
      <c r="D885" s="161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4.0" customHeight="1">
      <c r="A886" s="184"/>
      <c r="B886" s="224"/>
      <c r="C886" s="161"/>
      <c r="D886" s="161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4.0" customHeight="1">
      <c r="A887" s="184"/>
      <c r="B887" s="224"/>
      <c r="C887" s="161"/>
      <c r="D887" s="161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4.0" customHeight="1">
      <c r="A888" s="184"/>
      <c r="B888" s="224"/>
      <c r="C888" s="161"/>
      <c r="D888" s="161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4.0" customHeight="1">
      <c r="A889" s="184"/>
      <c r="B889" s="224"/>
      <c r="C889" s="161"/>
      <c r="D889" s="161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4.0" customHeight="1">
      <c r="A890" s="184"/>
      <c r="B890" s="224"/>
      <c r="C890" s="161"/>
      <c r="D890" s="161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4.0" customHeight="1">
      <c r="A891" s="184"/>
      <c r="B891" s="224"/>
      <c r="C891" s="161"/>
      <c r="D891" s="161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4.0" customHeight="1">
      <c r="A892" s="184"/>
      <c r="B892" s="224"/>
      <c r="C892" s="161"/>
      <c r="D892" s="161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4.0" customHeight="1">
      <c r="A893" s="184"/>
      <c r="B893" s="224"/>
      <c r="C893" s="161"/>
      <c r="D893" s="161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4.0" customHeight="1">
      <c r="A894" s="184"/>
      <c r="B894" s="224"/>
      <c r="C894" s="161"/>
      <c r="D894" s="161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4.0" customHeight="1">
      <c r="A895" s="184"/>
      <c r="B895" s="224"/>
      <c r="C895" s="161"/>
      <c r="D895" s="161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4.0" customHeight="1">
      <c r="A896" s="184"/>
      <c r="B896" s="224"/>
      <c r="C896" s="161"/>
      <c r="D896" s="161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4.0" customHeight="1">
      <c r="A897" s="184"/>
      <c r="B897" s="224"/>
      <c r="C897" s="161"/>
      <c r="D897" s="161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4.0" customHeight="1">
      <c r="A898" s="184"/>
      <c r="B898" s="224"/>
      <c r="C898" s="161"/>
      <c r="D898" s="161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4.0" customHeight="1">
      <c r="A899" s="184"/>
      <c r="B899" s="224"/>
      <c r="C899" s="161"/>
      <c r="D899" s="161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4.0" customHeight="1">
      <c r="A900" s="184"/>
      <c r="B900" s="224"/>
      <c r="C900" s="161"/>
      <c r="D900" s="161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4.0" customHeight="1">
      <c r="A901" s="184"/>
      <c r="B901" s="224"/>
      <c r="C901" s="161"/>
      <c r="D901" s="161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4.0" customHeight="1">
      <c r="A902" s="184"/>
      <c r="B902" s="224"/>
      <c r="C902" s="161"/>
      <c r="D902" s="161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4.0" customHeight="1">
      <c r="A903" s="184"/>
      <c r="B903" s="224"/>
      <c r="C903" s="161"/>
      <c r="D903" s="161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4.0" customHeight="1">
      <c r="A904" s="184"/>
      <c r="B904" s="224"/>
      <c r="C904" s="161"/>
      <c r="D904" s="161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4.0" customHeight="1">
      <c r="A905" s="184"/>
      <c r="B905" s="224"/>
      <c r="C905" s="161"/>
      <c r="D905" s="161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4.0" customHeight="1">
      <c r="A906" s="184"/>
      <c r="B906" s="224"/>
      <c r="C906" s="161"/>
      <c r="D906" s="161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4.0" customHeight="1">
      <c r="A907" s="184"/>
      <c r="B907" s="224"/>
      <c r="C907" s="161"/>
      <c r="D907" s="161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4.0" customHeight="1">
      <c r="A908" s="184"/>
      <c r="B908" s="224"/>
      <c r="C908" s="161"/>
      <c r="D908" s="161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4.0" customHeight="1">
      <c r="A909" s="184"/>
      <c r="B909" s="224"/>
      <c r="C909" s="161"/>
      <c r="D909" s="161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4.0" customHeight="1">
      <c r="A910" s="184"/>
      <c r="B910" s="224"/>
      <c r="C910" s="161"/>
      <c r="D910" s="161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4.0" customHeight="1">
      <c r="A911" s="184"/>
      <c r="B911" s="224"/>
      <c r="C911" s="161"/>
      <c r="D911" s="161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4.0" customHeight="1">
      <c r="A912" s="184"/>
      <c r="B912" s="224"/>
      <c r="C912" s="161"/>
      <c r="D912" s="161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4.0" customHeight="1">
      <c r="A913" s="184"/>
      <c r="B913" s="224"/>
      <c r="C913" s="161"/>
      <c r="D913" s="161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4.0" customHeight="1">
      <c r="A914" s="184"/>
      <c r="B914" s="224"/>
      <c r="C914" s="161"/>
      <c r="D914" s="161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4.0" customHeight="1">
      <c r="A915" s="184"/>
      <c r="B915" s="224"/>
      <c r="C915" s="161"/>
      <c r="D915" s="161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4.0" customHeight="1">
      <c r="A916" s="184"/>
      <c r="B916" s="224"/>
      <c r="C916" s="161"/>
      <c r="D916" s="161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4.0" customHeight="1">
      <c r="A917" s="184"/>
      <c r="B917" s="224"/>
      <c r="C917" s="161"/>
      <c r="D917" s="161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4.0" customHeight="1">
      <c r="A918" s="184"/>
      <c r="B918" s="224"/>
      <c r="C918" s="161"/>
      <c r="D918" s="161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4.0" customHeight="1">
      <c r="A919" s="184"/>
      <c r="B919" s="224"/>
      <c r="C919" s="161"/>
      <c r="D919" s="161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4.0" customHeight="1">
      <c r="A920" s="184"/>
      <c r="B920" s="224"/>
      <c r="C920" s="161"/>
      <c r="D920" s="161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4.0" customHeight="1">
      <c r="A921" s="184"/>
      <c r="B921" s="224"/>
      <c r="C921" s="161"/>
      <c r="D921" s="161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4.0" customHeight="1">
      <c r="A922" s="184"/>
      <c r="B922" s="224"/>
      <c r="C922" s="161"/>
      <c r="D922" s="161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4.0" customHeight="1">
      <c r="A923" s="184"/>
      <c r="B923" s="224"/>
      <c r="C923" s="161"/>
      <c r="D923" s="161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4.0" customHeight="1">
      <c r="A924" s="184"/>
      <c r="B924" s="224"/>
      <c r="C924" s="161"/>
      <c r="D924" s="161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4.0" customHeight="1">
      <c r="A925" s="184"/>
      <c r="B925" s="224"/>
      <c r="C925" s="161"/>
      <c r="D925" s="161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4.0" customHeight="1">
      <c r="A926" s="184"/>
      <c r="B926" s="224"/>
      <c r="C926" s="161"/>
      <c r="D926" s="161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4.0" customHeight="1">
      <c r="A927" s="184"/>
      <c r="B927" s="224"/>
      <c r="C927" s="161"/>
      <c r="D927" s="161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4.0" customHeight="1">
      <c r="A928" s="184"/>
      <c r="B928" s="224"/>
      <c r="C928" s="161"/>
      <c r="D928" s="161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4.0" customHeight="1">
      <c r="A929" s="184"/>
      <c r="B929" s="224"/>
      <c r="C929" s="161"/>
      <c r="D929" s="161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4.0" customHeight="1">
      <c r="A930" s="184"/>
      <c r="B930" s="224"/>
      <c r="C930" s="161"/>
      <c r="D930" s="161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4.0" customHeight="1">
      <c r="A931" s="184"/>
      <c r="B931" s="224"/>
      <c r="C931" s="161"/>
      <c r="D931" s="161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4.0" customHeight="1">
      <c r="A932" s="184"/>
      <c r="B932" s="224"/>
      <c r="C932" s="161"/>
      <c r="D932" s="161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4.0" customHeight="1">
      <c r="A933" s="184"/>
      <c r="B933" s="224"/>
      <c r="C933" s="161"/>
      <c r="D933" s="161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4.0" customHeight="1">
      <c r="A934" s="184"/>
      <c r="B934" s="224"/>
      <c r="C934" s="161"/>
      <c r="D934" s="161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4.0" customHeight="1">
      <c r="A935" s="184"/>
      <c r="B935" s="224"/>
      <c r="C935" s="161"/>
      <c r="D935" s="161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4.0" customHeight="1">
      <c r="A936" s="184"/>
      <c r="B936" s="224"/>
      <c r="C936" s="161"/>
      <c r="D936" s="161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4.0" customHeight="1">
      <c r="A937" s="184"/>
      <c r="B937" s="224"/>
      <c r="C937" s="161"/>
      <c r="D937" s="161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4.0" customHeight="1">
      <c r="A938" s="184"/>
      <c r="B938" s="224"/>
      <c r="C938" s="161"/>
      <c r="D938" s="161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4.0" customHeight="1">
      <c r="A939" s="184"/>
      <c r="B939" s="224"/>
      <c r="C939" s="161"/>
      <c r="D939" s="161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4.0" customHeight="1">
      <c r="A940" s="184"/>
      <c r="B940" s="224"/>
      <c r="C940" s="161"/>
      <c r="D940" s="161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4.0" customHeight="1">
      <c r="A941" s="184"/>
      <c r="B941" s="224"/>
      <c r="C941" s="161"/>
      <c r="D941" s="161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4.0" customHeight="1">
      <c r="A942" s="184"/>
      <c r="B942" s="224"/>
      <c r="C942" s="161"/>
      <c r="D942" s="161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4.0" customHeight="1">
      <c r="A943" s="184"/>
      <c r="B943" s="224"/>
      <c r="C943" s="161"/>
      <c r="D943" s="161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4.0" customHeight="1">
      <c r="A944" s="184"/>
      <c r="B944" s="224"/>
      <c r="C944" s="161"/>
      <c r="D944" s="161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4.0" customHeight="1">
      <c r="A945" s="184"/>
      <c r="B945" s="224"/>
      <c r="C945" s="161"/>
      <c r="D945" s="161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4.0" customHeight="1">
      <c r="A946" s="184"/>
      <c r="B946" s="224"/>
      <c r="C946" s="161"/>
      <c r="D946" s="161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4.0" customHeight="1">
      <c r="A947" s="184"/>
      <c r="B947" s="224"/>
      <c r="C947" s="161"/>
      <c r="D947" s="161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4.0" customHeight="1">
      <c r="A948" s="184"/>
      <c r="B948" s="224"/>
      <c r="C948" s="161"/>
      <c r="D948" s="161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4.0" customHeight="1">
      <c r="A949" s="184"/>
      <c r="B949" s="224"/>
      <c r="C949" s="161"/>
      <c r="D949" s="161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4.0" customHeight="1">
      <c r="A950" s="184"/>
      <c r="B950" s="224"/>
      <c r="C950" s="161"/>
      <c r="D950" s="161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4.0" customHeight="1">
      <c r="A951" s="184"/>
      <c r="B951" s="224"/>
      <c r="C951" s="161"/>
      <c r="D951" s="161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4.0" customHeight="1">
      <c r="A952" s="184"/>
      <c r="B952" s="224"/>
      <c r="C952" s="161"/>
      <c r="D952" s="161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4.0" customHeight="1">
      <c r="A953" s="184"/>
      <c r="B953" s="224"/>
      <c r="C953" s="161"/>
      <c r="D953" s="161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4.0" customHeight="1">
      <c r="A954" s="184"/>
      <c r="B954" s="224"/>
      <c r="C954" s="161"/>
      <c r="D954" s="161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4.0" customHeight="1">
      <c r="A955" s="184"/>
      <c r="B955" s="224"/>
      <c r="C955" s="161"/>
      <c r="D955" s="161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4.0" customHeight="1">
      <c r="A956" s="184"/>
      <c r="B956" s="224"/>
      <c r="C956" s="161"/>
      <c r="D956" s="161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4.0" customHeight="1">
      <c r="A957" s="184"/>
      <c r="B957" s="224"/>
      <c r="C957" s="161"/>
      <c r="D957" s="161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4.0" customHeight="1">
      <c r="A958" s="184"/>
      <c r="B958" s="224"/>
      <c r="C958" s="161"/>
      <c r="D958" s="161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4.0" customHeight="1">
      <c r="A959" s="184"/>
      <c r="B959" s="224"/>
      <c r="C959" s="161"/>
      <c r="D959" s="161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4.0" customHeight="1">
      <c r="A960" s="184"/>
      <c r="B960" s="224"/>
      <c r="C960" s="161"/>
      <c r="D960" s="161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4.0" customHeight="1">
      <c r="A961" s="184"/>
      <c r="B961" s="224"/>
      <c r="C961" s="161"/>
      <c r="D961" s="161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4.0" customHeight="1">
      <c r="A962" s="184"/>
      <c r="B962" s="224"/>
      <c r="C962" s="161"/>
      <c r="D962" s="161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4.0" customHeight="1">
      <c r="A963" s="184"/>
      <c r="B963" s="224"/>
      <c r="C963" s="161"/>
      <c r="D963" s="161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4.0" customHeight="1">
      <c r="A964" s="184"/>
      <c r="B964" s="224"/>
      <c r="C964" s="161"/>
      <c r="D964" s="161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4.0" customHeight="1">
      <c r="A965" s="184"/>
      <c r="B965" s="224"/>
      <c r="C965" s="161"/>
      <c r="D965" s="161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4.0" customHeight="1">
      <c r="A966" s="184"/>
      <c r="B966" s="224"/>
      <c r="C966" s="161"/>
      <c r="D966" s="161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4.0" customHeight="1">
      <c r="A967" s="184"/>
      <c r="B967" s="224"/>
      <c r="C967" s="161"/>
      <c r="D967" s="161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4.0" customHeight="1">
      <c r="A968" s="184"/>
      <c r="B968" s="224"/>
      <c r="C968" s="161"/>
      <c r="D968" s="161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4.0" customHeight="1">
      <c r="A969" s="184"/>
      <c r="B969" s="224"/>
      <c r="C969" s="161"/>
      <c r="D969" s="161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4.0" customHeight="1">
      <c r="A970" s="184"/>
      <c r="B970" s="224"/>
      <c r="C970" s="161"/>
      <c r="D970" s="161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4.0" customHeight="1">
      <c r="A971" s="184"/>
      <c r="B971" s="224"/>
      <c r="C971" s="161"/>
      <c r="D971" s="161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4.0" customHeight="1">
      <c r="A972" s="184"/>
      <c r="B972" s="224"/>
      <c r="C972" s="161"/>
      <c r="D972" s="161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4.0" customHeight="1">
      <c r="A973" s="184"/>
      <c r="B973" s="224"/>
      <c r="C973" s="161"/>
      <c r="D973" s="161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4.0" customHeight="1">
      <c r="A974" s="184"/>
      <c r="B974" s="224"/>
      <c r="C974" s="161"/>
      <c r="D974" s="161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4.0" customHeight="1">
      <c r="A975" s="184"/>
      <c r="B975" s="224"/>
      <c r="C975" s="161"/>
      <c r="D975" s="161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4.0" customHeight="1">
      <c r="A976" s="184"/>
      <c r="B976" s="224"/>
      <c r="C976" s="161"/>
      <c r="D976" s="161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4.0" customHeight="1">
      <c r="A977" s="184"/>
      <c r="B977" s="224"/>
      <c r="C977" s="161"/>
      <c r="D977" s="161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4.0" customHeight="1">
      <c r="A978" s="184"/>
      <c r="B978" s="224"/>
      <c r="C978" s="161"/>
      <c r="D978" s="161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4.0" customHeight="1">
      <c r="A979" s="184"/>
      <c r="B979" s="224"/>
      <c r="C979" s="161"/>
      <c r="D979" s="161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4.0" customHeight="1">
      <c r="A980" s="184"/>
      <c r="B980" s="224"/>
      <c r="C980" s="161"/>
      <c r="D980" s="161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4.0" customHeight="1">
      <c r="A981" s="184"/>
      <c r="B981" s="224"/>
      <c r="C981" s="161"/>
      <c r="D981" s="161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4.0" customHeight="1">
      <c r="A982" s="184"/>
      <c r="B982" s="224"/>
      <c r="C982" s="161"/>
      <c r="D982" s="161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4.0" customHeight="1">
      <c r="A983" s="184"/>
      <c r="B983" s="224"/>
      <c r="C983" s="161"/>
      <c r="D983" s="161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4.0" customHeight="1">
      <c r="A984" s="184"/>
      <c r="B984" s="224"/>
      <c r="C984" s="161"/>
      <c r="D984" s="161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4.0" customHeight="1">
      <c r="A985" s="184"/>
      <c r="B985" s="224"/>
      <c r="C985" s="161"/>
      <c r="D985" s="161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4.0" customHeight="1">
      <c r="A986" s="184"/>
      <c r="B986" s="224"/>
      <c r="C986" s="161"/>
      <c r="D986" s="161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4.0" customHeight="1">
      <c r="A987" s="184"/>
      <c r="B987" s="224"/>
      <c r="C987" s="161"/>
      <c r="D987" s="161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4.0" customHeight="1">
      <c r="A988" s="184"/>
      <c r="B988" s="224"/>
      <c r="C988" s="161"/>
      <c r="D988" s="161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4.0" customHeight="1">
      <c r="A989" s="184"/>
      <c r="B989" s="224"/>
      <c r="C989" s="161"/>
      <c r="D989" s="161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4.0" customHeight="1">
      <c r="A990" s="184"/>
      <c r="B990" s="224"/>
      <c r="C990" s="161"/>
      <c r="D990" s="161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4.0" customHeight="1">
      <c r="A991" s="184"/>
      <c r="B991" s="224"/>
      <c r="C991" s="161"/>
      <c r="D991" s="161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4.0" customHeight="1">
      <c r="A992" s="184"/>
      <c r="B992" s="224"/>
      <c r="C992" s="161"/>
      <c r="D992" s="161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4.0" customHeight="1">
      <c r="A993" s="184"/>
      <c r="B993" s="224"/>
      <c r="C993" s="161"/>
      <c r="D993" s="161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4.0" customHeight="1">
      <c r="A994" s="184"/>
      <c r="B994" s="224"/>
      <c r="C994" s="161"/>
      <c r="D994" s="161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4.0" customHeight="1">
      <c r="A995" s="184"/>
      <c r="B995" s="224"/>
      <c r="C995" s="161"/>
      <c r="D995" s="161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4.0" customHeight="1">
      <c r="A996" s="184"/>
      <c r="B996" s="224"/>
      <c r="C996" s="161"/>
      <c r="D996" s="161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4.0" customHeight="1">
      <c r="A997" s="184"/>
      <c r="B997" s="224"/>
      <c r="C997" s="161"/>
      <c r="D997" s="161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mergeCells count="1">
    <mergeCell ref="B2:C3"/>
  </mergeCells>
  <printOptions horizontalCentered="1"/>
  <pageMargins bottom="0.5" footer="0.0" header="0.0" left="0.3" right="0.3" top="0.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5.88"/>
    <col customWidth="1" min="3" max="14" width="14.38"/>
    <col customWidth="1" min="15" max="15" width="17.63"/>
    <col customWidth="1" min="16" max="16" width="2.75"/>
    <col customWidth="1" min="17" max="27" width="16.63"/>
  </cols>
  <sheetData>
    <row r="1" ht="60.0" customHeight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7" t="s">
        <v>1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8.5" customHeight="1">
      <c r="A2" s="10"/>
      <c r="B2" s="11"/>
      <c r="C2" s="13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7"/>
      <c r="P2" s="18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54.75" customHeight="1">
      <c r="A3" s="20"/>
      <c r="B3" s="23">
        <v>2026.0</v>
      </c>
      <c r="C3" s="22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6"/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45.0" customHeight="1">
      <c r="A4" s="10"/>
      <c r="B4" s="30"/>
      <c r="C4" s="13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7"/>
      <c r="P4" s="18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30.0" customHeight="1">
      <c r="A5" s="36"/>
      <c r="B5" s="37" t="s">
        <v>3</v>
      </c>
      <c r="C5" s="38" t="s">
        <v>4</v>
      </c>
      <c r="D5" s="41">
        <v>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44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6.0" customHeight="1">
      <c r="A6" s="48"/>
      <c r="B6" s="49"/>
      <c r="C6" s="51" t="s">
        <v>5</v>
      </c>
      <c r="D6" s="51" t="s">
        <v>6</v>
      </c>
      <c r="E6" s="51" t="s">
        <v>7</v>
      </c>
      <c r="F6" s="51" t="s">
        <v>8</v>
      </c>
      <c r="G6" s="51" t="s">
        <v>9</v>
      </c>
      <c r="H6" s="51" t="s">
        <v>10</v>
      </c>
      <c r="I6" s="52" t="s">
        <v>11</v>
      </c>
      <c r="J6" s="51" t="s">
        <v>12</v>
      </c>
      <c r="K6" s="51" t="s">
        <v>13</v>
      </c>
      <c r="L6" s="51" t="s">
        <v>14</v>
      </c>
      <c r="M6" s="51" t="s">
        <v>15</v>
      </c>
      <c r="N6" s="51" t="s">
        <v>16</v>
      </c>
      <c r="O6" s="53" t="s">
        <v>17</v>
      </c>
      <c r="P6" s="48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ht="24.0" customHeight="1">
      <c r="A7" s="58"/>
      <c r="B7" s="60"/>
      <c r="C7" s="61"/>
      <c r="D7" s="62"/>
      <c r="E7" s="62"/>
      <c r="F7" s="62"/>
      <c r="G7" s="62"/>
      <c r="H7" s="62"/>
      <c r="I7" s="63"/>
      <c r="J7" s="62"/>
      <c r="K7" s="62"/>
      <c r="L7" s="62"/>
      <c r="M7" s="62"/>
      <c r="N7" s="62"/>
      <c r="O7" s="70"/>
      <c r="P7" s="71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ht="24.0" hidden="1" customHeight="1">
      <c r="A8" s="36"/>
      <c r="B8" s="76"/>
      <c r="C8" s="77"/>
      <c r="D8" s="78"/>
      <c r="E8" s="78"/>
      <c r="F8" s="78"/>
      <c r="G8" s="78"/>
      <c r="H8" s="78"/>
      <c r="I8" s="80"/>
      <c r="J8" s="78"/>
      <c r="K8" s="78"/>
      <c r="L8" s="78"/>
      <c r="M8" s="78"/>
      <c r="N8" s="78"/>
      <c r="O8" s="6"/>
      <c r="P8" s="44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4.0" customHeight="1">
      <c r="A9" s="36"/>
      <c r="B9" s="84" t="s">
        <v>18</v>
      </c>
      <c r="C9" s="87">
        <f>61180+357</f>
        <v>61537</v>
      </c>
      <c r="D9" s="87">
        <f>61224+315</f>
        <v>61539</v>
      </c>
      <c r="E9" s="87">
        <f>59865.9+146</f>
        <v>60011.9</v>
      </c>
      <c r="F9" s="87">
        <f>45134+418</f>
        <v>45552</v>
      </c>
      <c r="G9" s="87">
        <f>31057.36+235</f>
        <v>31292.36</v>
      </c>
      <c r="H9" s="87">
        <f>24109.07+317</f>
        <v>24426.07</v>
      </c>
      <c r="I9" s="87">
        <f>37279.35+1030</f>
        <v>38309.35</v>
      </c>
      <c r="J9" s="87">
        <f>47054.03+844</f>
        <v>47898.03</v>
      </c>
      <c r="K9" s="96"/>
      <c r="L9" s="96"/>
      <c r="M9" s="96"/>
      <c r="N9" s="97"/>
      <c r="O9" s="96"/>
      <c r="P9" s="44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4.0" customHeight="1">
      <c r="A10" s="36"/>
      <c r="B10" s="84" t="s">
        <v>35</v>
      </c>
      <c r="C10" s="99">
        <v>29371.85272189349</v>
      </c>
      <c r="D10" s="99">
        <v>39303.60272189349</v>
      </c>
      <c r="E10" s="100">
        <v>35329.15272189349</v>
      </c>
      <c r="F10" s="100">
        <v>26336.49272189349</v>
      </c>
      <c r="G10" s="100">
        <v>21462.122721893495</v>
      </c>
      <c r="H10" s="100">
        <v>24249.37272189349</v>
      </c>
      <c r="I10" s="102">
        <v>27350.23560157791</v>
      </c>
      <c r="J10" s="100">
        <v>27413.255601577912</v>
      </c>
      <c r="K10" s="100"/>
      <c r="L10" s="100"/>
      <c r="M10" s="100"/>
      <c r="N10" s="105"/>
      <c r="O10" s="107"/>
      <c r="P10" s="44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4.0" customHeight="1">
      <c r="A11" s="58"/>
      <c r="B11" s="76" t="s">
        <v>37</v>
      </c>
      <c r="C11" s="108">
        <f t="shared" ref="C11:J11" si="1">SUM(C9-C10)</f>
        <v>32165.14728</v>
      </c>
      <c r="D11" s="108">
        <f t="shared" si="1"/>
        <v>22235.39728</v>
      </c>
      <c r="E11" s="108">
        <f t="shared" si="1"/>
        <v>24682.74728</v>
      </c>
      <c r="F11" s="108">
        <f t="shared" si="1"/>
        <v>19215.50728</v>
      </c>
      <c r="G11" s="108">
        <f t="shared" si="1"/>
        <v>9830.237278</v>
      </c>
      <c r="H11" s="112">
        <f t="shared" si="1"/>
        <v>176.6972781</v>
      </c>
      <c r="I11" s="108">
        <f t="shared" si="1"/>
        <v>10959.1144</v>
      </c>
      <c r="J11" s="108">
        <f t="shared" si="1"/>
        <v>20484.7744</v>
      </c>
      <c r="K11" s="108"/>
      <c r="L11" s="108">
        <f t="shared" ref="L11:O11" si="2">SUM(L9-L10)</f>
        <v>0</v>
      </c>
      <c r="M11" s="108">
        <f t="shared" si="2"/>
        <v>0</v>
      </c>
      <c r="N11" s="108">
        <f t="shared" si="2"/>
        <v>0</v>
      </c>
      <c r="O11" s="108">
        <f t="shared" si="2"/>
        <v>0</v>
      </c>
      <c r="P11" s="71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ht="24.0" customHeight="1">
      <c r="A12" s="58"/>
      <c r="B12" s="60"/>
      <c r="C12" s="116"/>
      <c r="D12" s="118"/>
      <c r="E12" s="118"/>
      <c r="F12" s="118"/>
      <c r="G12" s="118"/>
      <c r="H12" s="118"/>
      <c r="I12" s="120"/>
      <c r="J12" s="118"/>
      <c r="K12" s="118"/>
      <c r="L12" s="118"/>
      <c r="M12" s="62"/>
      <c r="N12" s="62"/>
      <c r="O12" s="70"/>
      <c r="P12" s="71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ht="24.0" hidden="1" customHeight="1">
      <c r="A13" s="36"/>
      <c r="B13" s="76"/>
      <c r="C13" s="109"/>
      <c r="D13" s="124"/>
      <c r="E13" s="124"/>
      <c r="F13" s="124"/>
      <c r="G13" s="124"/>
      <c r="H13" s="124"/>
      <c r="I13" s="126"/>
      <c r="J13" s="124"/>
      <c r="K13" s="124"/>
      <c r="L13" s="124"/>
      <c r="M13" s="78"/>
      <c r="N13" s="78"/>
      <c r="O13" s="6"/>
      <c r="P13" s="44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4.0" customHeight="1">
      <c r="A14" s="36"/>
      <c r="B14" s="130" t="s">
        <v>41</v>
      </c>
      <c r="C14" s="96" t="s">
        <v>42</v>
      </c>
      <c r="D14" s="132">
        <v>0.92</v>
      </c>
      <c r="E14" s="132">
        <v>0.78</v>
      </c>
      <c r="F14" s="132">
        <v>0.83</v>
      </c>
      <c r="G14" s="132">
        <v>0.7</v>
      </c>
      <c r="H14" s="132">
        <v>0.53</v>
      </c>
      <c r="I14" s="132">
        <v>0.8</v>
      </c>
      <c r="J14" s="132">
        <v>0.79</v>
      </c>
      <c r="K14" s="131"/>
      <c r="L14" s="131"/>
      <c r="M14" s="132"/>
      <c r="N14" s="131"/>
      <c r="O14" s="135"/>
      <c r="P14" s="44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4.0" customHeight="1">
      <c r="A15" s="36"/>
      <c r="B15" s="130" t="s">
        <v>44</v>
      </c>
      <c r="C15" s="96" t="s">
        <v>45</v>
      </c>
      <c r="D15" s="87">
        <v>84.46</v>
      </c>
      <c r="E15" s="87">
        <v>77.21</v>
      </c>
      <c r="F15" s="87">
        <v>67.7</v>
      </c>
      <c r="G15" s="87">
        <v>51.46</v>
      </c>
      <c r="H15" s="87">
        <v>78.3</v>
      </c>
      <c r="I15" s="87">
        <v>63.51</v>
      </c>
      <c r="J15" s="87">
        <v>79.08</v>
      </c>
      <c r="K15" s="96"/>
      <c r="L15" s="96"/>
      <c r="M15" s="96"/>
      <c r="N15" s="138"/>
      <c r="O15" s="138"/>
      <c r="P15" s="44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4.0" customHeight="1">
      <c r="A16" s="36"/>
      <c r="B16" s="130" t="s">
        <v>56</v>
      </c>
      <c r="C16" s="96" t="s">
        <v>57</v>
      </c>
      <c r="D16" s="87">
        <v>77.95</v>
      </c>
      <c r="E16" s="87">
        <v>60.16</v>
      </c>
      <c r="F16" s="87">
        <v>56.1</v>
      </c>
      <c r="G16" s="87">
        <v>36.08</v>
      </c>
      <c r="H16" s="87">
        <v>41.34</v>
      </c>
      <c r="I16" s="87">
        <v>50.51</v>
      </c>
      <c r="J16" s="87">
        <v>62.49</v>
      </c>
      <c r="K16" s="96"/>
      <c r="L16" s="96"/>
      <c r="M16" s="96"/>
      <c r="N16" s="138"/>
      <c r="O16" s="138"/>
      <c r="P16" s="44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4.0" customHeight="1">
      <c r="A17" s="36"/>
      <c r="B17" s="130" t="s">
        <v>68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2"/>
      <c r="N17" s="142"/>
      <c r="O17" s="138"/>
      <c r="P17" s="44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4.0" customHeight="1">
      <c r="A18" s="36"/>
      <c r="B18" s="130" t="s">
        <v>69</v>
      </c>
      <c r="C18" s="96"/>
      <c r="D18" s="141"/>
      <c r="E18" s="141"/>
      <c r="F18" s="141"/>
      <c r="G18" s="141"/>
      <c r="H18" s="141"/>
      <c r="I18" s="144"/>
      <c r="J18" s="141"/>
      <c r="K18" s="141"/>
      <c r="L18" s="141"/>
      <c r="M18" s="142"/>
      <c r="N18" s="142"/>
      <c r="O18" s="138"/>
      <c r="P18" s="44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4.0" customHeight="1">
      <c r="A19" s="36"/>
      <c r="B19" s="130" t="s">
        <v>71</v>
      </c>
      <c r="C19" s="96"/>
      <c r="D19" s="141"/>
      <c r="E19" s="141"/>
      <c r="F19" s="141"/>
      <c r="G19" s="141"/>
      <c r="H19" s="141"/>
      <c r="I19" s="144"/>
      <c r="J19" s="141"/>
      <c r="K19" s="141"/>
      <c r="L19" s="141"/>
      <c r="M19" s="142"/>
      <c r="N19" s="142"/>
      <c r="O19" s="138"/>
      <c r="P19" s="44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4.0" customHeight="1">
      <c r="A20" s="58"/>
      <c r="B20" s="130" t="s">
        <v>73</v>
      </c>
      <c r="C20" s="96"/>
      <c r="D20" s="141"/>
      <c r="E20" s="141"/>
      <c r="F20" s="141"/>
      <c r="G20" s="141"/>
      <c r="H20" s="141"/>
      <c r="I20" s="144"/>
      <c r="J20" s="141"/>
      <c r="K20" s="141"/>
      <c r="L20" s="141"/>
      <c r="M20" s="142"/>
      <c r="N20" s="142"/>
      <c r="O20" s="138"/>
      <c r="P20" s="71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ht="24.0" customHeight="1">
      <c r="A21" s="36"/>
      <c r="B21" s="130" t="s">
        <v>74</v>
      </c>
      <c r="C21" s="130"/>
      <c r="D21" s="96"/>
      <c r="E21" s="141"/>
      <c r="F21" s="141"/>
      <c r="G21" s="141"/>
      <c r="H21" s="141"/>
      <c r="I21" s="141"/>
      <c r="J21" s="144"/>
      <c r="K21" s="141"/>
      <c r="L21" s="141"/>
      <c r="M21" s="141"/>
      <c r="N21" s="142"/>
      <c r="O21" s="138"/>
      <c r="P21" s="153"/>
      <c r="Q21" s="44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4.0" customHeight="1">
      <c r="A22" s="58"/>
      <c r="B22" s="154"/>
      <c r="C22" s="61"/>
      <c r="D22" s="62"/>
      <c r="E22" s="62"/>
      <c r="F22" s="62"/>
      <c r="G22" s="62"/>
      <c r="H22" s="62"/>
      <c r="I22" s="63"/>
      <c r="J22" s="62"/>
      <c r="K22" s="62"/>
      <c r="L22" s="62"/>
      <c r="M22" s="62"/>
      <c r="N22" s="62"/>
      <c r="O22" s="70"/>
      <c r="P22" s="71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ht="24.0" hidden="1" customHeight="1">
      <c r="A23" s="36"/>
      <c r="B23" s="155"/>
      <c r="C23" s="77"/>
      <c r="D23" s="78"/>
      <c r="E23" s="78"/>
      <c r="F23" s="78"/>
      <c r="G23" s="78"/>
      <c r="H23" s="78"/>
      <c r="I23" s="80"/>
      <c r="J23" s="78"/>
      <c r="K23" s="78"/>
      <c r="L23" s="78"/>
      <c r="M23" s="78"/>
      <c r="N23" s="78"/>
      <c r="O23" s="6"/>
      <c r="P23" s="44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4.0" customHeight="1">
      <c r="A24" s="36"/>
      <c r="C24" s="157"/>
      <c r="D24" s="158"/>
      <c r="E24" s="158"/>
      <c r="F24" s="158"/>
      <c r="G24" s="158"/>
      <c r="H24" s="158"/>
      <c r="I24" s="159"/>
      <c r="J24" s="158"/>
      <c r="K24" s="158"/>
      <c r="L24" s="158"/>
      <c r="M24" s="158"/>
      <c r="N24" s="158"/>
      <c r="O24" s="161"/>
      <c r="P24" s="44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4.0" customHeight="1">
      <c r="A25" s="36"/>
      <c r="B25" s="163"/>
      <c r="C25" s="164"/>
      <c r="D25" s="164"/>
      <c r="E25" s="164"/>
      <c r="F25" s="164"/>
      <c r="G25" s="164"/>
      <c r="H25" s="165"/>
      <c r="I25" s="165"/>
      <c r="J25" s="165"/>
      <c r="K25" s="165"/>
      <c r="L25" s="165"/>
      <c r="M25" s="142"/>
      <c r="N25" s="142"/>
      <c r="O25" s="153"/>
      <c r="P25" s="44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4.0" customHeight="1">
      <c r="A26" s="36"/>
      <c r="B26" s="163"/>
      <c r="C26" s="167"/>
      <c r="D26" s="142"/>
      <c r="E26" s="142"/>
      <c r="F26" s="142"/>
      <c r="G26" s="142"/>
      <c r="H26" s="142"/>
      <c r="I26" s="169"/>
      <c r="J26" s="142"/>
      <c r="K26" s="142"/>
      <c r="L26" s="142"/>
      <c r="M26" s="142"/>
      <c r="N26" s="142"/>
      <c r="O26" s="153"/>
      <c r="P26" s="44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4.0" customHeight="1">
      <c r="A27" s="36"/>
      <c r="B27" s="163"/>
      <c r="C27" s="167"/>
      <c r="D27" s="142"/>
      <c r="E27" s="142"/>
      <c r="F27" s="142"/>
      <c r="G27" s="142"/>
      <c r="H27" s="142"/>
      <c r="I27" s="169"/>
      <c r="J27" s="142"/>
      <c r="K27" s="142"/>
      <c r="L27" s="142"/>
      <c r="M27" s="142"/>
      <c r="N27" s="142"/>
      <c r="O27" s="153"/>
      <c r="P27" s="44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4.0" customHeight="1">
      <c r="A28" s="36"/>
      <c r="B28" s="163"/>
      <c r="C28" s="167"/>
      <c r="D28" s="142"/>
      <c r="E28" s="142"/>
      <c r="F28" s="142"/>
      <c r="G28" s="142"/>
      <c r="H28" s="142"/>
      <c r="I28" s="169"/>
      <c r="J28" s="142"/>
      <c r="K28" s="142"/>
      <c r="L28" s="142"/>
      <c r="M28" s="142"/>
      <c r="N28" s="142"/>
      <c r="O28" s="153"/>
      <c r="P28" s="44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4.0" customHeight="1">
      <c r="A29" s="36"/>
      <c r="B29" s="163"/>
      <c r="C29" s="167"/>
      <c r="D29" s="142"/>
      <c r="E29" s="142"/>
      <c r="F29" s="142"/>
      <c r="G29" s="142"/>
      <c r="H29" s="142"/>
      <c r="I29" s="169"/>
      <c r="J29" s="142"/>
      <c r="K29" s="142"/>
      <c r="L29" s="142"/>
      <c r="M29" s="142"/>
      <c r="N29" s="142"/>
      <c r="O29" s="153"/>
      <c r="P29" s="44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4.0" customHeight="1">
      <c r="A30" s="36"/>
      <c r="B30" s="155"/>
      <c r="C30" s="77"/>
      <c r="D30" s="78"/>
      <c r="E30" s="78"/>
      <c r="F30" s="78"/>
      <c r="G30" s="78"/>
      <c r="H30" s="78"/>
      <c r="I30" s="80"/>
      <c r="J30" s="78"/>
      <c r="K30" s="78"/>
      <c r="L30" s="78"/>
      <c r="M30" s="78"/>
      <c r="N30" s="78"/>
      <c r="O30" s="6"/>
      <c r="P30" s="44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4.0" customHeight="1">
      <c r="A31" s="58"/>
      <c r="B31" s="154"/>
      <c r="C31" s="61"/>
      <c r="D31" s="62"/>
      <c r="E31" s="62"/>
      <c r="F31" s="62"/>
      <c r="G31" s="62"/>
      <c r="H31" s="62"/>
      <c r="I31" s="63"/>
      <c r="J31" s="62"/>
      <c r="K31" s="62"/>
      <c r="L31" s="62"/>
      <c r="M31" s="62"/>
      <c r="N31" s="62"/>
      <c r="O31" s="70"/>
      <c r="P31" s="71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ht="24.0" hidden="1" customHeight="1">
      <c r="A32" s="36"/>
      <c r="B32" s="155"/>
      <c r="C32" s="77"/>
      <c r="D32" s="78"/>
      <c r="E32" s="78"/>
      <c r="F32" s="78"/>
      <c r="G32" s="78"/>
      <c r="H32" s="78"/>
      <c r="I32" s="80"/>
      <c r="J32" s="78"/>
      <c r="K32" s="78"/>
      <c r="L32" s="78"/>
      <c r="M32" s="78"/>
      <c r="N32" s="78"/>
      <c r="O32" s="6"/>
      <c r="P32" s="44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4.0" customHeight="1">
      <c r="A33" s="36"/>
      <c r="B33" s="163"/>
      <c r="C33" s="167"/>
      <c r="D33" s="142"/>
      <c r="E33" s="142"/>
      <c r="F33" s="142"/>
      <c r="G33" s="142"/>
      <c r="H33" s="142"/>
      <c r="I33" s="169"/>
      <c r="J33" s="142"/>
      <c r="K33" s="142"/>
      <c r="L33" s="142"/>
      <c r="M33" s="142"/>
      <c r="N33" s="142"/>
      <c r="O33" s="153"/>
      <c r="P33" s="44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4.0" customHeight="1">
      <c r="A34" s="36"/>
      <c r="B34" s="163"/>
      <c r="C34" s="167"/>
      <c r="D34" s="142"/>
      <c r="E34" s="142"/>
      <c r="F34" s="142"/>
      <c r="G34" s="142"/>
      <c r="H34" s="142"/>
      <c r="I34" s="169"/>
      <c r="J34" s="142"/>
      <c r="K34" s="142"/>
      <c r="L34" s="142"/>
      <c r="M34" s="142"/>
      <c r="N34" s="142"/>
      <c r="O34" s="153"/>
      <c r="P34" s="44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4.0" customHeight="1">
      <c r="A35" s="36"/>
      <c r="B35" s="155"/>
      <c r="C35" s="77"/>
      <c r="D35" s="78"/>
      <c r="E35" s="78"/>
      <c r="F35" s="78"/>
      <c r="G35" s="78"/>
      <c r="H35" s="78"/>
      <c r="I35" s="80"/>
      <c r="J35" s="78"/>
      <c r="K35" s="78"/>
      <c r="L35" s="78"/>
      <c r="M35" s="78"/>
      <c r="N35" s="78"/>
      <c r="O35" s="6"/>
      <c r="P35" s="44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36.0" customHeight="1">
      <c r="A36" s="36"/>
      <c r="B36" s="178"/>
      <c r="C36" s="179"/>
      <c r="D36" s="180"/>
      <c r="E36" s="180"/>
      <c r="F36" s="180"/>
      <c r="G36" s="180"/>
      <c r="H36" s="180"/>
      <c r="I36" s="181"/>
      <c r="J36" s="180"/>
      <c r="K36" s="180"/>
      <c r="L36" s="180"/>
      <c r="M36" s="180"/>
      <c r="N36" s="180"/>
      <c r="O36" s="182"/>
      <c r="P36" s="44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4.0" customHeight="1">
      <c r="A37" s="36"/>
      <c r="B37" s="155"/>
      <c r="C37" s="77"/>
      <c r="D37" s="6"/>
      <c r="E37" s="6"/>
      <c r="F37" s="6"/>
      <c r="G37" s="6"/>
      <c r="H37" s="6"/>
      <c r="I37" s="80"/>
      <c r="J37" s="6"/>
      <c r="K37" s="6"/>
      <c r="L37" s="6"/>
      <c r="M37" s="6"/>
      <c r="N37" s="6"/>
      <c r="O37" s="6"/>
      <c r="P37" s="44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4.0" customHeight="1">
      <c r="A38" s="184"/>
      <c r="B38" s="8"/>
      <c r="C38" s="185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4.0" customHeight="1">
      <c r="A39" s="184"/>
      <c r="B39" s="8"/>
      <c r="C39" s="185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4.0" customHeight="1">
      <c r="A40" s="184"/>
      <c r="B40" s="8"/>
      <c r="C40" s="185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4.0" customHeight="1">
      <c r="A41" s="184"/>
      <c r="B41" s="8"/>
      <c r="C41" s="185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4.0" customHeight="1">
      <c r="A42" s="184"/>
      <c r="B42" s="8"/>
      <c r="C42" s="185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4.0" customHeight="1">
      <c r="A43" s="184"/>
      <c r="B43" s="8"/>
      <c r="C43" s="185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4.0" customHeight="1">
      <c r="A44" s="184"/>
      <c r="B44" s="8"/>
      <c r="C44" s="185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4.0" customHeight="1">
      <c r="A45" s="184"/>
      <c r="B45" s="8"/>
      <c r="C45" s="185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4.0" customHeight="1">
      <c r="A46" s="184"/>
      <c r="B46" s="8"/>
      <c r="C46" s="185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4.0" customHeight="1">
      <c r="A47" s="184"/>
      <c r="B47" s="8"/>
      <c r="C47" s="185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4.0" customHeight="1">
      <c r="A48" s="184"/>
      <c r="B48" s="8"/>
      <c r="C48" s="185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4.0" customHeight="1">
      <c r="A49" s="184"/>
      <c r="B49" s="8"/>
      <c r="C49" s="185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4.0" customHeight="1">
      <c r="A50" s="184"/>
      <c r="B50" s="8"/>
      <c r="C50" s="185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4.0" customHeight="1">
      <c r="A51" s="184"/>
      <c r="B51" s="8"/>
      <c r="C51" s="185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4.0" customHeight="1">
      <c r="A52" s="184"/>
      <c r="B52" s="8"/>
      <c r="C52" s="185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4.0" customHeight="1">
      <c r="A53" s="184"/>
      <c r="B53" s="8"/>
      <c r="C53" s="185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4.0" customHeight="1">
      <c r="A54" s="184"/>
      <c r="B54" s="8"/>
      <c r="C54" s="185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4.0" customHeight="1">
      <c r="A55" s="184"/>
      <c r="B55" s="8"/>
      <c r="C55" s="185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4.0" customHeight="1">
      <c r="A56" s="184"/>
      <c r="B56" s="8"/>
      <c r="C56" s="185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4.0" customHeight="1">
      <c r="A57" s="184"/>
      <c r="B57" s="8"/>
      <c r="C57" s="185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4.0" customHeight="1">
      <c r="A58" s="184"/>
      <c r="B58" s="8"/>
      <c r="C58" s="185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4.0" customHeight="1">
      <c r="A59" s="184"/>
      <c r="B59" s="8"/>
      <c r="C59" s="185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4.0" customHeight="1">
      <c r="A60" s="184"/>
      <c r="B60" s="8"/>
      <c r="C60" s="185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4.0" customHeight="1">
      <c r="A61" s="184"/>
      <c r="B61" s="8"/>
      <c r="C61" s="185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4.0" customHeight="1">
      <c r="A62" s="184"/>
      <c r="B62" s="8"/>
      <c r="C62" s="185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4.0" customHeight="1">
      <c r="A63" s="184"/>
      <c r="B63" s="8"/>
      <c r="C63" s="185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4.0" customHeight="1">
      <c r="A64" s="184"/>
      <c r="B64" s="8"/>
      <c r="C64" s="185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4.0" customHeight="1">
      <c r="A65" s="184"/>
      <c r="B65" s="8"/>
      <c r="C65" s="185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4.0" customHeight="1">
      <c r="A66" s="184"/>
      <c r="B66" s="8"/>
      <c r="C66" s="185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4.0" customHeight="1">
      <c r="A67" s="184"/>
      <c r="B67" s="8"/>
      <c r="C67" s="185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4.0" customHeight="1">
      <c r="A68" s="184"/>
      <c r="B68" s="8"/>
      <c r="C68" s="185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4.0" customHeight="1">
      <c r="A69" s="184"/>
      <c r="B69" s="8"/>
      <c r="C69" s="185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4.0" customHeight="1">
      <c r="A70" s="184"/>
      <c r="B70" s="8"/>
      <c r="C70" s="185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4.0" customHeight="1">
      <c r="A71" s="184"/>
      <c r="B71" s="8"/>
      <c r="C71" s="185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4.0" customHeight="1">
      <c r="A72" s="184"/>
      <c r="B72" s="8"/>
      <c r="C72" s="185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4.0" customHeight="1">
      <c r="A73" s="184"/>
      <c r="B73" s="8"/>
      <c r="C73" s="185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4.0" customHeight="1">
      <c r="A74" s="184"/>
      <c r="B74" s="8"/>
      <c r="C74" s="185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4.0" customHeight="1">
      <c r="A75" s="184"/>
      <c r="B75" s="8"/>
      <c r="C75" s="185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4.0" customHeight="1">
      <c r="A76" s="184"/>
      <c r="B76" s="8"/>
      <c r="C76" s="185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4.0" customHeight="1">
      <c r="A77" s="184"/>
      <c r="B77" s="8"/>
      <c r="C77" s="185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4.0" customHeight="1">
      <c r="A78" s="184"/>
      <c r="B78" s="8"/>
      <c r="C78" s="185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4.0" customHeight="1">
      <c r="A79" s="184"/>
      <c r="B79" s="8"/>
      <c r="C79" s="185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4.0" customHeight="1">
      <c r="A80" s="184"/>
      <c r="B80" s="8"/>
      <c r="C80" s="185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4.0" customHeight="1">
      <c r="A81" s="184"/>
      <c r="B81" s="8"/>
      <c r="C81" s="185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4.0" customHeight="1">
      <c r="A82" s="184"/>
      <c r="B82" s="8"/>
      <c r="C82" s="185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4.0" customHeight="1">
      <c r="A83" s="184"/>
      <c r="B83" s="8"/>
      <c r="C83" s="185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4.0" customHeight="1">
      <c r="A84" s="184"/>
      <c r="B84" s="8"/>
      <c r="C84" s="185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4.0" customHeight="1">
      <c r="A85" s="184"/>
      <c r="B85" s="8"/>
      <c r="C85" s="185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4.0" customHeight="1">
      <c r="A86" s="184"/>
      <c r="B86" s="8"/>
      <c r="C86" s="185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4.0" customHeight="1">
      <c r="A87" s="184"/>
      <c r="B87" s="8"/>
      <c r="C87" s="185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4.0" customHeight="1">
      <c r="A88" s="184"/>
      <c r="B88" s="8"/>
      <c r="C88" s="185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4.0" customHeight="1">
      <c r="A89" s="184"/>
      <c r="B89" s="8"/>
      <c r="C89" s="185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4.0" customHeight="1">
      <c r="A90" s="184"/>
      <c r="B90" s="8"/>
      <c r="C90" s="185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4.0" customHeight="1">
      <c r="A91" s="184"/>
      <c r="B91" s="8"/>
      <c r="C91" s="185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4.0" customHeight="1">
      <c r="A92" s="184"/>
      <c r="B92" s="8"/>
      <c r="C92" s="185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4.0" customHeight="1">
      <c r="A93" s="184"/>
      <c r="B93" s="8"/>
      <c r="C93" s="185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4.0" customHeight="1">
      <c r="A94" s="184"/>
      <c r="B94" s="8"/>
      <c r="C94" s="185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4.0" customHeight="1">
      <c r="A95" s="184"/>
      <c r="B95" s="8"/>
      <c r="C95" s="185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4.0" customHeight="1">
      <c r="A96" s="184"/>
      <c r="B96" s="8"/>
      <c r="C96" s="185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4.0" customHeight="1">
      <c r="A97" s="184"/>
      <c r="B97" s="8"/>
      <c r="C97" s="185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4.0" customHeight="1">
      <c r="A98" s="184"/>
      <c r="B98" s="8"/>
      <c r="C98" s="185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4.0" customHeight="1">
      <c r="A99" s="184"/>
      <c r="B99" s="8"/>
      <c r="C99" s="185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4.0" customHeight="1">
      <c r="A100" s="184"/>
      <c r="B100" s="8"/>
      <c r="C100" s="185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4.0" customHeight="1">
      <c r="A101" s="184"/>
      <c r="B101" s="8"/>
      <c r="C101" s="185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4.0" customHeight="1">
      <c r="A102" s="184"/>
      <c r="B102" s="8"/>
      <c r="C102" s="185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4.0" customHeight="1">
      <c r="A103" s="184"/>
      <c r="B103" s="8"/>
      <c r="C103" s="185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4.0" customHeight="1">
      <c r="A104" s="184"/>
      <c r="B104" s="8"/>
      <c r="C104" s="185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4.0" customHeight="1">
      <c r="A105" s="184"/>
      <c r="B105" s="8"/>
      <c r="C105" s="185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4.0" customHeight="1">
      <c r="A106" s="184"/>
      <c r="B106" s="8"/>
      <c r="C106" s="185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4.0" customHeight="1">
      <c r="A107" s="184"/>
      <c r="B107" s="8"/>
      <c r="C107" s="185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4.0" customHeight="1">
      <c r="A108" s="184"/>
      <c r="B108" s="8"/>
      <c r="C108" s="185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4.0" customHeight="1">
      <c r="A109" s="184"/>
      <c r="B109" s="8"/>
      <c r="C109" s="185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24.0" customHeight="1">
      <c r="A110" s="184"/>
      <c r="B110" s="8"/>
      <c r="C110" s="185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4.0" customHeight="1">
      <c r="A111" s="184"/>
      <c r="B111" s="8"/>
      <c r="C111" s="185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24.0" customHeight="1">
      <c r="A112" s="184"/>
      <c r="B112" s="8"/>
      <c r="C112" s="185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4.0" customHeight="1">
      <c r="A113" s="184"/>
      <c r="B113" s="8"/>
      <c r="C113" s="185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4.0" customHeight="1">
      <c r="A114" s="184"/>
      <c r="B114" s="8"/>
      <c r="C114" s="185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4.0" customHeight="1">
      <c r="A115" s="184"/>
      <c r="B115" s="8"/>
      <c r="C115" s="185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4.0" customHeight="1">
      <c r="A116" s="184"/>
      <c r="B116" s="8"/>
      <c r="C116" s="185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24.0" customHeight="1">
      <c r="A117" s="184"/>
      <c r="B117" s="8"/>
      <c r="C117" s="185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24.0" customHeight="1">
      <c r="A118" s="184"/>
      <c r="B118" s="8"/>
      <c r="C118" s="185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24.0" customHeight="1">
      <c r="A119" s="184"/>
      <c r="B119" s="8"/>
      <c r="C119" s="185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24.0" customHeight="1">
      <c r="A120" s="184"/>
      <c r="B120" s="8"/>
      <c r="C120" s="185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4.0" customHeight="1">
      <c r="A121" s="184"/>
      <c r="B121" s="8"/>
      <c r="C121" s="185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4.0" customHeight="1">
      <c r="A122" s="184"/>
      <c r="B122" s="8"/>
      <c r="C122" s="185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24.0" customHeight="1">
      <c r="A123" s="184"/>
      <c r="B123" s="8"/>
      <c r="C123" s="185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24.0" customHeight="1">
      <c r="A124" s="184"/>
      <c r="B124" s="8"/>
      <c r="C124" s="185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24.0" customHeight="1">
      <c r="A125" s="184"/>
      <c r="B125" s="8"/>
      <c r="C125" s="185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24.0" customHeight="1">
      <c r="A126" s="184"/>
      <c r="B126" s="8"/>
      <c r="C126" s="185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24.0" customHeight="1">
      <c r="A127" s="184"/>
      <c r="B127" s="8"/>
      <c r="C127" s="185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24.0" customHeight="1">
      <c r="A128" s="184"/>
      <c r="B128" s="8"/>
      <c r="C128" s="185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24.0" customHeight="1">
      <c r="A129" s="184"/>
      <c r="B129" s="8"/>
      <c r="C129" s="185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24.0" customHeight="1">
      <c r="A130" s="184"/>
      <c r="B130" s="8"/>
      <c r="C130" s="185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24.0" customHeight="1">
      <c r="A131" s="184"/>
      <c r="B131" s="8"/>
      <c r="C131" s="185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24.0" customHeight="1">
      <c r="A132" s="184"/>
      <c r="B132" s="8"/>
      <c r="C132" s="185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24.0" customHeight="1">
      <c r="A133" s="184"/>
      <c r="B133" s="8"/>
      <c r="C133" s="185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24.0" customHeight="1">
      <c r="A134" s="184"/>
      <c r="B134" s="8"/>
      <c r="C134" s="185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24.0" customHeight="1">
      <c r="A135" s="184"/>
      <c r="B135" s="8"/>
      <c r="C135" s="185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24.0" customHeight="1">
      <c r="A136" s="184"/>
      <c r="B136" s="8"/>
      <c r="C136" s="185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24.0" customHeight="1">
      <c r="A137" s="184"/>
      <c r="B137" s="8"/>
      <c r="C137" s="185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24.0" customHeight="1">
      <c r="A138" s="184"/>
      <c r="B138" s="8"/>
      <c r="C138" s="185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24.0" customHeight="1">
      <c r="A139" s="184"/>
      <c r="B139" s="8"/>
      <c r="C139" s="185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24.0" customHeight="1">
      <c r="A140" s="184"/>
      <c r="B140" s="8"/>
      <c r="C140" s="185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24.0" customHeight="1">
      <c r="A141" s="184"/>
      <c r="B141" s="8"/>
      <c r="C141" s="185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24.0" customHeight="1">
      <c r="A142" s="184"/>
      <c r="B142" s="8"/>
      <c r="C142" s="185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24.0" customHeight="1">
      <c r="A143" s="184"/>
      <c r="B143" s="8"/>
      <c r="C143" s="185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24.0" customHeight="1">
      <c r="A144" s="184"/>
      <c r="B144" s="8"/>
      <c r="C144" s="185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24.0" customHeight="1">
      <c r="A145" s="184"/>
      <c r="B145" s="8"/>
      <c r="C145" s="185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24.0" customHeight="1">
      <c r="A146" s="184"/>
      <c r="B146" s="8"/>
      <c r="C146" s="185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24.0" customHeight="1">
      <c r="A147" s="184"/>
      <c r="B147" s="8"/>
      <c r="C147" s="185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24.0" customHeight="1">
      <c r="A148" s="184"/>
      <c r="B148" s="8"/>
      <c r="C148" s="185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24.0" customHeight="1">
      <c r="A149" s="184"/>
      <c r="B149" s="8"/>
      <c r="C149" s="185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24.0" customHeight="1">
      <c r="A150" s="184"/>
      <c r="B150" s="8"/>
      <c r="C150" s="185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24.0" customHeight="1">
      <c r="A151" s="184"/>
      <c r="B151" s="8"/>
      <c r="C151" s="185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24.0" customHeight="1">
      <c r="A152" s="184"/>
      <c r="B152" s="8"/>
      <c r="C152" s="185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24.0" customHeight="1">
      <c r="A153" s="184"/>
      <c r="B153" s="8"/>
      <c r="C153" s="185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24.0" customHeight="1">
      <c r="A154" s="184"/>
      <c r="B154" s="8"/>
      <c r="C154" s="185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24.0" customHeight="1">
      <c r="A155" s="184"/>
      <c r="B155" s="8"/>
      <c r="C155" s="185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24.0" customHeight="1">
      <c r="A156" s="184"/>
      <c r="B156" s="8"/>
      <c r="C156" s="185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24.0" customHeight="1">
      <c r="A157" s="184"/>
      <c r="B157" s="8"/>
      <c r="C157" s="185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24.0" customHeight="1">
      <c r="A158" s="184"/>
      <c r="B158" s="8"/>
      <c r="C158" s="185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24.0" customHeight="1">
      <c r="A159" s="184"/>
      <c r="B159" s="8"/>
      <c r="C159" s="185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24.0" customHeight="1">
      <c r="A160" s="184"/>
      <c r="B160" s="8"/>
      <c r="C160" s="185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24.0" customHeight="1">
      <c r="A161" s="184"/>
      <c r="B161" s="8"/>
      <c r="C161" s="185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24.0" customHeight="1">
      <c r="A162" s="184"/>
      <c r="B162" s="8"/>
      <c r="C162" s="185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24.0" customHeight="1">
      <c r="A163" s="184"/>
      <c r="B163" s="8"/>
      <c r="C163" s="185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24.0" customHeight="1">
      <c r="A164" s="184"/>
      <c r="B164" s="8"/>
      <c r="C164" s="185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24.0" customHeight="1">
      <c r="A165" s="184"/>
      <c r="B165" s="8"/>
      <c r="C165" s="185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24.0" customHeight="1">
      <c r="A166" s="184"/>
      <c r="B166" s="8"/>
      <c r="C166" s="185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24.0" customHeight="1">
      <c r="A167" s="184"/>
      <c r="B167" s="8"/>
      <c r="C167" s="185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24.0" customHeight="1">
      <c r="A168" s="184"/>
      <c r="B168" s="8"/>
      <c r="C168" s="185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24.0" customHeight="1">
      <c r="A169" s="184"/>
      <c r="B169" s="8"/>
      <c r="C169" s="185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24.0" customHeight="1">
      <c r="A170" s="184"/>
      <c r="B170" s="8"/>
      <c r="C170" s="185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24.0" customHeight="1">
      <c r="A171" s="184"/>
      <c r="B171" s="8"/>
      <c r="C171" s="185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24.0" customHeight="1">
      <c r="A172" s="184"/>
      <c r="B172" s="8"/>
      <c r="C172" s="185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24.0" customHeight="1">
      <c r="A173" s="184"/>
      <c r="B173" s="8"/>
      <c r="C173" s="185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24.0" customHeight="1">
      <c r="A174" s="184"/>
      <c r="B174" s="8"/>
      <c r="C174" s="185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24.0" customHeight="1">
      <c r="A175" s="184"/>
      <c r="B175" s="8"/>
      <c r="C175" s="185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24.0" customHeight="1">
      <c r="A176" s="184"/>
      <c r="B176" s="8"/>
      <c r="C176" s="185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24.0" customHeight="1">
      <c r="A177" s="184"/>
      <c r="B177" s="8"/>
      <c r="C177" s="185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24.0" customHeight="1">
      <c r="A178" s="184"/>
      <c r="B178" s="8"/>
      <c r="C178" s="185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24.0" customHeight="1">
      <c r="A179" s="184"/>
      <c r="B179" s="8"/>
      <c r="C179" s="185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24.0" customHeight="1">
      <c r="A180" s="184"/>
      <c r="B180" s="8"/>
      <c r="C180" s="185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24.0" customHeight="1">
      <c r="A181" s="184"/>
      <c r="B181" s="8"/>
      <c r="C181" s="185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24.0" customHeight="1">
      <c r="A182" s="184"/>
      <c r="B182" s="8"/>
      <c r="C182" s="185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24.0" customHeight="1">
      <c r="A183" s="184"/>
      <c r="B183" s="8"/>
      <c r="C183" s="185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24.0" customHeight="1">
      <c r="A184" s="184"/>
      <c r="B184" s="8"/>
      <c r="C184" s="185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24.0" customHeight="1">
      <c r="A185" s="184"/>
      <c r="B185" s="8"/>
      <c r="C185" s="185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24.0" customHeight="1">
      <c r="A186" s="184"/>
      <c r="B186" s="8"/>
      <c r="C186" s="185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24.0" customHeight="1">
      <c r="A187" s="184"/>
      <c r="B187" s="8"/>
      <c r="C187" s="185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24.0" customHeight="1">
      <c r="A188" s="184"/>
      <c r="B188" s="8"/>
      <c r="C188" s="185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24.0" customHeight="1">
      <c r="A189" s="184"/>
      <c r="B189" s="8"/>
      <c r="C189" s="185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24.0" customHeight="1">
      <c r="A190" s="184"/>
      <c r="B190" s="8"/>
      <c r="C190" s="185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24.0" customHeight="1">
      <c r="A191" s="184"/>
      <c r="B191" s="8"/>
      <c r="C191" s="185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24.0" customHeight="1">
      <c r="A192" s="184"/>
      <c r="B192" s="8"/>
      <c r="C192" s="185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24.0" customHeight="1">
      <c r="A193" s="184"/>
      <c r="B193" s="8"/>
      <c r="C193" s="185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24.0" customHeight="1">
      <c r="A194" s="184"/>
      <c r="B194" s="8"/>
      <c r="C194" s="185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24.0" customHeight="1">
      <c r="A195" s="184"/>
      <c r="B195" s="8"/>
      <c r="C195" s="185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24.0" customHeight="1">
      <c r="A196" s="184"/>
      <c r="B196" s="8"/>
      <c r="C196" s="185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24.0" customHeight="1">
      <c r="A197" s="184"/>
      <c r="B197" s="8"/>
      <c r="C197" s="185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24.0" customHeight="1">
      <c r="A198" s="184"/>
      <c r="B198" s="8"/>
      <c r="C198" s="185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24.0" customHeight="1">
      <c r="A199" s="184"/>
      <c r="B199" s="8"/>
      <c r="C199" s="185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24.0" customHeight="1">
      <c r="A200" s="184"/>
      <c r="B200" s="8"/>
      <c r="C200" s="185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24.0" customHeight="1">
      <c r="A201" s="184"/>
      <c r="B201" s="8"/>
      <c r="C201" s="185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24.0" customHeight="1">
      <c r="A202" s="184"/>
      <c r="B202" s="8"/>
      <c r="C202" s="185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24.0" customHeight="1">
      <c r="A203" s="184"/>
      <c r="B203" s="8"/>
      <c r="C203" s="185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24.0" customHeight="1">
      <c r="A204" s="184"/>
      <c r="B204" s="8"/>
      <c r="C204" s="185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24.0" customHeight="1">
      <c r="A205" s="184"/>
      <c r="B205" s="8"/>
      <c r="C205" s="185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24.0" customHeight="1">
      <c r="A206" s="184"/>
      <c r="B206" s="8"/>
      <c r="C206" s="185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24.0" customHeight="1">
      <c r="A207" s="184"/>
      <c r="B207" s="8"/>
      <c r="C207" s="185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24.0" customHeight="1">
      <c r="A208" s="184"/>
      <c r="B208" s="8"/>
      <c r="C208" s="185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24.0" customHeight="1">
      <c r="A209" s="184"/>
      <c r="B209" s="8"/>
      <c r="C209" s="185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24.0" customHeight="1">
      <c r="A210" s="184"/>
      <c r="B210" s="8"/>
      <c r="C210" s="185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24.0" customHeight="1">
      <c r="A211" s="184"/>
      <c r="B211" s="8"/>
      <c r="C211" s="185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24.0" customHeight="1">
      <c r="A212" s="184"/>
      <c r="B212" s="8"/>
      <c r="C212" s="185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24.0" customHeight="1">
      <c r="A213" s="184"/>
      <c r="B213" s="8"/>
      <c r="C213" s="185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24.0" customHeight="1">
      <c r="A214" s="184"/>
      <c r="B214" s="8"/>
      <c r="C214" s="185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24.0" customHeight="1">
      <c r="A215" s="184"/>
      <c r="B215" s="8"/>
      <c r="C215" s="185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24.0" customHeight="1">
      <c r="A216" s="184"/>
      <c r="B216" s="8"/>
      <c r="C216" s="185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24.0" customHeight="1">
      <c r="A217" s="184"/>
      <c r="B217" s="8"/>
      <c r="C217" s="185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24.0" customHeight="1">
      <c r="A218" s="184"/>
      <c r="B218" s="8"/>
      <c r="C218" s="185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24.0" customHeight="1">
      <c r="A219" s="184"/>
      <c r="B219" s="8"/>
      <c r="C219" s="185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24.0" customHeight="1">
      <c r="A220" s="184"/>
      <c r="B220" s="8"/>
      <c r="C220" s="185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24.0" customHeight="1">
      <c r="A221" s="184"/>
      <c r="B221" s="8"/>
      <c r="C221" s="185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24.0" customHeight="1">
      <c r="A222" s="184"/>
      <c r="B222" s="8"/>
      <c r="C222" s="185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24.0" customHeight="1">
      <c r="A223" s="184"/>
      <c r="B223" s="8"/>
      <c r="C223" s="185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24.0" customHeight="1">
      <c r="A224" s="184"/>
      <c r="B224" s="8"/>
      <c r="C224" s="185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24.0" customHeight="1">
      <c r="A225" s="184"/>
      <c r="B225" s="8"/>
      <c r="C225" s="185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24.0" customHeight="1">
      <c r="A226" s="184"/>
      <c r="B226" s="8"/>
      <c r="C226" s="185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24.0" customHeight="1">
      <c r="A227" s="184"/>
      <c r="B227" s="8"/>
      <c r="C227" s="185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24.0" customHeight="1">
      <c r="A228" s="184"/>
      <c r="B228" s="8"/>
      <c r="C228" s="185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24.0" customHeight="1">
      <c r="A229" s="184"/>
      <c r="B229" s="8"/>
      <c r="C229" s="185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24.0" customHeight="1">
      <c r="A230" s="184"/>
      <c r="B230" s="8"/>
      <c r="C230" s="185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24.0" customHeight="1">
      <c r="A231" s="184"/>
      <c r="B231" s="8"/>
      <c r="C231" s="185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24.0" customHeight="1">
      <c r="A232" s="184"/>
      <c r="B232" s="8"/>
      <c r="C232" s="185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24.0" customHeight="1">
      <c r="A233" s="184"/>
      <c r="B233" s="8"/>
      <c r="C233" s="185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24.0" customHeight="1">
      <c r="A234" s="184"/>
      <c r="B234" s="8"/>
      <c r="C234" s="185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24.0" customHeight="1">
      <c r="A235" s="184"/>
      <c r="B235" s="8"/>
      <c r="C235" s="185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24.0" customHeight="1">
      <c r="A236" s="184"/>
      <c r="B236" s="8"/>
      <c r="C236" s="185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24.0" customHeight="1">
      <c r="A237" s="184"/>
      <c r="B237" s="8"/>
      <c r="C237" s="185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24.0" customHeight="1">
      <c r="A238" s="184"/>
      <c r="B238" s="8"/>
      <c r="C238" s="185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24.0" customHeight="1">
      <c r="A239" s="184"/>
      <c r="B239" s="8"/>
      <c r="C239" s="185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24.0" customHeight="1">
      <c r="A240" s="184"/>
      <c r="B240" s="8"/>
      <c r="C240" s="185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24.0" customHeight="1">
      <c r="A241" s="184"/>
      <c r="B241" s="8"/>
      <c r="C241" s="185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24.0" customHeight="1">
      <c r="A242" s="184"/>
      <c r="B242" s="8"/>
      <c r="C242" s="185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24.0" customHeight="1">
      <c r="A243" s="184"/>
      <c r="B243" s="8"/>
      <c r="C243" s="185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24.0" customHeight="1">
      <c r="A244" s="184"/>
      <c r="B244" s="8"/>
      <c r="C244" s="185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24.0" customHeight="1">
      <c r="A245" s="184"/>
      <c r="B245" s="8"/>
      <c r="C245" s="185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24.0" customHeight="1">
      <c r="A246" s="184"/>
      <c r="B246" s="8"/>
      <c r="C246" s="185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24.0" customHeight="1">
      <c r="A247" s="184"/>
      <c r="B247" s="8"/>
      <c r="C247" s="185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24.0" customHeight="1">
      <c r="A248" s="184"/>
      <c r="B248" s="8"/>
      <c r="C248" s="185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24.0" customHeight="1">
      <c r="A249" s="184"/>
      <c r="B249" s="8"/>
      <c r="C249" s="185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24.0" customHeight="1">
      <c r="A250" s="184"/>
      <c r="B250" s="8"/>
      <c r="C250" s="185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24.0" customHeight="1">
      <c r="A251" s="184"/>
      <c r="B251" s="8"/>
      <c r="C251" s="185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24.0" customHeight="1">
      <c r="A252" s="184"/>
      <c r="B252" s="8"/>
      <c r="C252" s="185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24.0" customHeight="1">
      <c r="A253" s="184"/>
      <c r="B253" s="8"/>
      <c r="C253" s="185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24.0" customHeight="1">
      <c r="A254" s="184"/>
      <c r="B254" s="8"/>
      <c r="C254" s="185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24.0" customHeight="1">
      <c r="A255" s="184"/>
      <c r="B255" s="8"/>
      <c r="C255" s="185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24.0" customHeight="1">
      <c r="A256" s="184"/>
      <c r="B256" s="8"/>
      <c r="C256" s="185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24.0" customHeight="1">
      <c r="A257" s="184"/>
      <c r="B257" s="8"/>
      <c r="C257" s="185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24.0" customHeight="1">
      <c r="A258" s="184"/>
      <c r="B258" s="8"/>
      <c r="C258" s="185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24.0" customHeight="1">
      <c r="A259" s="184"/>
      <c r="B259" s="8"/>
      <c r="C259" s="185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24.0" customHeight="1">
      <c r="A260" s="184"/>
      <c r="B260" s="8"/>
      <c r="C260" s="185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24.0" customHeight="1">
      <c r="A261" s="184"/>
      <c r="B261" s="8"/>
      <c r="C261" s="185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24.0" customHeight="1">
      <c r="A262" s="184"/>
      <c r="B262" s="8"/>
      <c r="C262" s="185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24.0" customHeight="1">
      <c r="A263" s="184"/>
      <c r="B263" s="8"/>
      <c r="C263" s="185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24.0" customHeight="1">
      <c r="A264" s="184"/>
      <c r="B264" s="8"/>
      <c r="C264" s="185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24.0" customHeight="1">
      <c r="A265" s="184"/>
      <c r="B265" s="8"/>
      <c r="C265" s="185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24.0" customHeight="1">
      <c r="A266" s="184"/>
      <c r="B266" s="8"/>
      <c r="C266" s="185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24.0" customHeight="1">
      <c r="A267" s="184"/>
      <c r="B267" s="8"/>
      <c r="C267" s="185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24.0" customHeight="1">
      <c r="A268" s="184"/>
      <c r="B268" s="8"/>
      <c r="C268" s="185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24.0" customHeight="1">
      <c r="A269" s="184"/>
      <c r="B269" s="8"/>
      <c r="C269" s="185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24.0" customHeight="1">
      <c r="A270" s="184"/>
      <c r="B270" s="8"/>
      <c r="C270" s="185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24.0" customHeight="1">
      <c r="A271" s="184"/>
      <c r="B271" s="8"/>
      <c r="C271" s="185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24.0" customHeight="1">
      <c r="A272" s="184"/>
      <c r="B272" s="8"/>
      <c r="C272" s="185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24.0" customHeight="1">
      <c r="A273" s="184"/>
      <c r="B273" s="8"/>
      <c r="C273" s="185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24.0" customHeight="1">
      <c r="A274" s="184"/>
      <c r="B274" s="8"/>
      <c r="C274" s="185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24.0" customHeight="1">
      <c r="A275" s="184"/>
      <c r="B275" s="8"/>
      <c r="C275" s="185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24.0" customHeight="1">
      <c r="A276" s="184"/>
      <c r="B276" s="8"/>
      <c r="C276" s="185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24.0" customHeight="1">
      <c r="A277" s="184"/>
      <c r="B277" s="8"/>
      <c r="C277" s="185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24.0" customHeight="1">
      <c r="A278" s="184"/>
      <c r="B278" s="8"/>
      <c r="C278" s="185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24.0" customHeight="1">
      <c r="A279" s="184"/>
      <c r="B279" s="8"/>
      <c r="C279" s="185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24.0" customHeight="1">
      <c r="A280" s="184"/>
      <c r="B280" s="8"/>
      <c r="C280" s="185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24.0" customHeight="1">
      <c r="A281" s="184"/>
      <c r="B281" s="8"/>
      <c r="C281" s="185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24.0" customHeight="1">
      <c r="A282" s="184"/>
      <c r="B282" s="8"/>
      <c r="C282" s="185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24.0" customHeight="1">
      <c r="A283" s="184"/>
      <c r="B283" s="8"/>
      <c r="C283" s="185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24.0" customHeight="1">
      <c r="A284" s="184"/>
      <c r="B284" s="8"/>
      <c r="C284" s="185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24.0" customHeight="1">
      <c r="A285" s="184"/>
      <c r="B285" s="8"/>
      <c r="C285" s="185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24.0" customHeight="1">
      <c r="A286" s="184"/>
      <c r="B286" s="8"/>
      <c r="C286" s="185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24.0" customHeight="1">
      <c r="A287" s="184"/>
      <c r="B287" s="8"/>
      <c r="C287" s="185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24.0" customHeight="1">
      <c r="A288" s="184"/>
      <c r="B288" s="8"/>
      <c r="C288" s="185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24.0" customHeight="1">
      <c r="A289" s="184"/>
      <c r="B289" s="8"/>
      <c r="C289" s="185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24.0" customHeight="1">
      <c r="A290" s="184"/>
      <c r="B290" s="8"/>
      <c r="C290" s="185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24.0" customHeight="1">
      <c r="A291" s="184"/>
      <c r="B291" s="8"/>
      <c r="C291" s="185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24.0" customHeight="1">
      <c r="A292" s="184"/>
      <c r="B292" s="8"/>
      <c r="C292" s="185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24.0" customHeight="1">
      <c r="A293" s="184"/>
      <c r="B293" s="8"/>
      <c r="C293" s="185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24.0" customHeight="1">
      <c r="A294" s="184"/>
      <c r="B294" s="8"/>
      <c r="C294" s="185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24.0" customHeight="1">
      <c r="A295" s="184"/>
      <c r="B295" s="8"/>
      <c r="C295" s="185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24.0" customHeight="1">
      <c r="A296" s="184"/>
      <c r="B296" s="8"/>
      <c r="C296" s="185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24.0" customHeight="1">
      <c r="A297" s="184"/>
      <c r="B297" s="8"/>
      <c r="C297" s="185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24.0" customHeight="1">
      <c r="A298" s="184"/>
      <c r="B298" s="8"/>
      <c r="C298" s="185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24.0" customHeight="1">
      <c r="A299" s="184"/>
      <c r="B299" s="8"/>
      <c r="C299" s="185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24.0" customHeight="1">
      <c r="A300" s="184"/>
      <c r="B300" s="8"/>
      <c r="C300" s="185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24.0" customHeight="1">
      <c r="A301" s="184"/>
      <c r="B301" s="8"/>
      <c r="C301" s="185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24.0" customHeight="1">
      <c r="A302" s="184"/>
      <c r="B302" s="8"/>
      <c r="C302" s="185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24.0" customHeight="1">
      <c r="A303" s="184"/>
      <c r="B303" s="8"/>
      <c r="C303" s="185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24.0" customHeight="1">
      <c r="A304" s="184"/>
      <c r="B304" s="8"/>
      <c r="C304" s="185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24.0" customHeight="1">
      <c r="A305" s="184"/>
      <c r="B305" s="8"/>
      <c r="C305" s="185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24.0" customHeight="1">
      <c r="A306" s="184"/>
      <c r="B306" s="8"/>
      <c r="C306" s="185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24.0" customHeight="1">
      <c r="A307" s="184"/>
      <c r="B307" s="8"/>
      <c r="C307" s="185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24.0" customHeight="1">
      <c r="A308" s="184"/>
      <c r="B308" s="8"/>
      <c r="C308" s="185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24.0" customHeight="1">
      <c r="A309" s="184"/>
      <c r="B309" s="8"/>
      <c r="C309" s="185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24.0" customHeight="1">
      <c r="A310" s="184"/>
      <c r="B310" s="8"/>
      <c r="C310" s="185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24.0" customHeight="1">
      <c r="A311" s="184"/>
      <c r="B311" s="8"/>
      <c r="C311" s="185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24.0" customHeight="1">
      <c r="A312" s="184"/>
      <c r="B312" s="8"/>
      <c r="C312" s="185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24.0" customHeight="1">
      <c r="A313" s="184"/>
      <c r="B313" s="8"/>
      <c r="C313" s="185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24.0" customHeight="1">
      <c r="A314" s="184"/>
      <c r="B314" s="8"/>
      <c r="C314" s="185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24.0" customHeight="1">
      <c r="A315" s="184"/>
      <c r="B315" s="8"/>
      <c r="C315" s="185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24.0" customHeight="1">
      <c r="A316" s="184"/>
      <c r="B316" s="8"/>
      <c r="C316" s="185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24.0" customHeight="1">
      <c r="A317" s="184"/>
      <c r="B317" s="8"/>
      <c r="C317" s="185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24.0" customHeight="1">
      <c r="A318" s="184"/>
      <c r="B318" s="8"/>
      <c r="C318" s="185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24.0" customHeight="1">
      <c r="A319" s="184"/>
      <c r="B319" s="8"/>
      <c r="C319" s="185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24.0" customHeight="1">
      <c r="A320" s="184"/>
      <c r="B320" s="8"/>
      <c r="C320" s="185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24.0" customHeight="1">
      <c r="A321" s="184"/>
      <c r="B321" s="8"/>
      <c r="C321" s="185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24.0" customHeight="1">
      <c r="A322" s="184"/>
      <c r="B322" s="8"/>
      <c r="C322" s="185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24.0" customHeight="1">
      <c r="A323" s="184"/>
      <c r="B323" s="8"/>
      <c r="C323" s="185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24.0" customHeight="1">
      <c r="A324" s="184"/>
      <c r="B324" s="8"/>
      <c r="C324" s="185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24.0" customHeight="1">
      <c r="A325" s="184"/>
      <c r="B325" s="8"/>
      <c r="C325" s="185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24.0" customHeight="1">
      <c r="A326" s="184"/>
      <c r="B326" s="8"/>
      <c r="C326" s="185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24.0" customHeight="1">
      <c r="A327" s="184"/>
      <c r="B327" s="8"/>
      <c r="C327" s="185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24.0" customHeight="1">
      <c r="A328" s="184"/>
      <c r="B328" s="8"/>
      <c r="C328" s="185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24.0" customHeight="1">
      <c r="A329" s="184"/>
      <c r="B329" s="8"/>
      <c r="C329" s="185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24.0" customHeight="1">
      <c r="A330" s="184"/>
      <c r="B330" s="8"/>
      <c r="C330" s="185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24.0" customHeight="1">
      <c r="A331" s="184"/>
      <c r="B331" s="8"/>
      <c r="C331" s="185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24.0" customHeight="1">
      <c r="A332" s="184"/>
      <c r="B332" s="8"/>
      <c r="C332" s="185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24.0" customHeight="1">
      <c r="A333" s="184"/>
      <c r="B333" s="8"/>
      <c r="C333" s="185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24.0" customHeight="1">
      <c r="A334" s="184"/>
      <c r="B334" s="8"/>
      <c r="C334" s="185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24.0" customHeight="1">
      <c r="A335" s="184"/>
      <c r="B335" s="8"/>
      <c r="C335" s="185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24.0" customHeight="1">
      <c r="A336" s="184"/>
      <c r="B336" s="8"/>
      <c r="C336" s="185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24.0" customHeight="1">
      <c r="A337" s="184"/>
      <c r="B337" s="8"/>
      <c r="C337" s="185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24.0" customHeight="1">
      <c r="A338" s="184"/>
      <c r="B338" s="8"/>
      <c r="C338" s="185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24.0" customHeight="1">
      <c r="A339" s="184"/>
      <c r="B339" s="8"/>
      <c r="C339" s="185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24.0" customHeight="1">
      <c r="A340" s="184"/>
      <c r="B340" s="8"/>
      <c r="C340" s="185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24.0" customHeight="1">
      <c r="A341" s="184"/>
      <c r="B341" s="8"/>
      <c r="C341" s="185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24.0" customHeight="1">
      <c r="A342" s="184"/>
      <c r="B342" s="8"/>
      <c r="C342" s="185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24.0" customHeight="1">
      <c r="A343" s="184"/>
      <c r="B343" s="8"/>
      <c r="C343" s="185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24.0" customHeight="1">
      <c r="A344" s="184"/>
      <c r="B344" s="8"/>
      <c r="C344" s="185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24.0" customHeight="1">
      <c r="A345" s="184"/>
      <c r="B345" s="8"/>
      <c r="C345" s="185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24.0" customHeight="1">
      <c r="A346" s="184"/>
      <c r="B346" s="8"/>
      <c r="C346" s="185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24.0" customHeight="1">
      <c r="A347" s="184"/>
      <c r="B347" s="8"/>
      <c r="C347" s="185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24.0" customHeight="1">
      <c r="A348" s="184"/>
      <c r="B348" s="8"/>
      <c r="C348" s="185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24.0" customHeight="1">
      <c r="A349" s="184"/>
      <c r="B349" s="8"/>
      <c r="C349" s="185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24.0" customHeight="1">
      <c r="A350" s="184"/>
      <c r="B350" s="8"/>
      <c r="C350" s="185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24.0" customHeight="1">
      <c r="A351" s="184"/>
      <c r="B351" s="8"/>
      <c r="C351" s="185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24.0" customHeight="1">
      <c r="A352" s="184"/>
      <c r="B352" s="8"/>
      <c r="C352" s="185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24.0" customHeight="1">
      <c r="A353" s="184"/>
      <c r="B353" s="8"/>
      <c r="C353" s="185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24.0" customHeight="1">
      <c r="A354" s="184"/>
      <c r="B354" s="8"/>
      <c r="C354" s="185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24.0" customHeight="1">
      <c r="A355" s="184"/>
      <c r="B355" s="8"/>
      <c r="C355" s="185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24.0" customHeight="1">
      <c r="A356" s="184"/>
      <c r="B356" s="8"/>
      <c r="C356" s="185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24.0" customHeight="1">
      <c r="A357" s="184"/>
      <c r="B357" s="8"/>
      <c r="C357" s="185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24.0" customHeight="1">
      <c r="A358" s="184"/>
      <c r="B358" s="8"/>
      <c r="C358" s="185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24.0" customHeight="1">
      <c r="A359" s="184"/>
      <c r="B359" s="8"/>
      <c r="C359" s="185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24.0" customHeight="1">
      <c r="A360" s="184"/>
      <c r="B360" s="8"/>
      <c r="C360" s="185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24.0" customHeight="1">
      <c r="A361" s="184"/>
      <c r="B361" s="8"/>
      <c r="C361" s="185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24.0" customHeight="1">
      <c r="A362" s="184"/>
      <c r="B362" s="8"/>
      <c r="C362" s="185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24.0" customHeight="1">
      <c r="A363" s="184"/>
      <c r="B363" s="8"/>
      <c r="C363" s="185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24.0" customHeight="1">
      <c r="A364" s="184"/>
      <c r="B364" s="8"/>
      <c r="C364" s="185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24.0" customHeight="1">
      <c r="A365" s="184"/>
      <c r="B365" s="8"/>
      <c r="C365" s="185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24.0" customHeight="1">
      <c r="A366" s="184"/>
      <c r="B366" s="8"/>
      <c r="C366" s="185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24.0" customHeight="1">
      <c r="A367" s="184"/>
      <c r="B367" s="8"/>
      <c r="C367" s="185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24.0" customHeight="1">
      <c r="A368" s="184"/>
      <c r="B368" s="8"/>
      <c r="C368" s="185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24.0" customHeight="1">
      <c r="A369" s="184"/>
      <c r="B369" s="8"/>
      <c r="C369" s="185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24.0" customHeight="1">
      <c r="A370" s="184"/>
      <c r="B370" s="8"/>
      <c r="C370" s="185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24.0" customHeight="1">
      <c r="A371" s="184"/>
      <c r="B371" s="8"/>
      <c r="C371" s="185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24.0" customHeight="1">
      <c r="A372" s="184"/>
      <c r="B372" s="8"/>
      <c r="C372" s="185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24.0" customHeight="1">
      <c r="A373" s="184"/>
      <c r="B373" s="8"/>
      <c r="C373" s="185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24.0" customHeight="1">
      <c r="A374" s="184"/>
      <c r="B374" s="8"/>
      <c r="C374" s="185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24.0" customHeight="1">
      <c r="A375" s="184"/>
      <c r="B375" s="8"/>
      <c r="C375" s="185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24.0" customHeight="1">
      <c r="A376" s="184"/>
      <c r="B376" s="8"/>
      <c r="C376" s="185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24.0" customHeight="1">
      <c r="A377" s="184"/>
      <c r="B377" s="8"/>
      <c r="C377" s="185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24.0" customHeight="1">
      <c r="A378" s="184"/>
      <c r="B378" s="8"/>
      <c r="C378" s="185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24.0" customHeight="1">
      <c r="A379" s="184"/>
      <c r="B379" s="8"/>
      <c r="C379" s="185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24.0" customHeight="1">
      <c r="A380" s="184"/>
      <c r="B380" s="8"/>
      <c r="C380" s="185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24.0" customHeight="1">
      <c r="A381" s="184"/>
      <c r="B381" s="8"/>
      <c r="C381" s="185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24.0" customHeight="1">
      <c r="A382" s="184"/>
      <c r="B382" s="8"/>
      <c r="C382" s="185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24.0" customHeight="1">
      <c r="A383" s="184"/>
      <c r="B383" s="8"/>
      <c r="C383" s="185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24.0" customHeight="1">
      <c r="A384" s="184"/>
      <c r="B384" s="8"/>
      <c r="C384" s="185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24.0" customHeight="1">
      <c r="A385" s="184"/>
      <c r="B385" s="8"/>
      <c r="C385" s="185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24.0" customHeight="1">
      <c r="A386" s="184"/>
      <c r="B386" s="8"/>
      <c r="C386" s="185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24.0" customHeight="1">
      <c r="A387" s="184"/>
      <c r="B387" s="8"/>
      <c r="C387" s="185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24.0" customHeight="1">
      <c r="A388" s="184"/>
      <c r="B388" s="8"/>
      <c r="C388" s="185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24.0" customHeight="1">
      <c r="A389" s="184"/>
      <c r="B389" s="8"/>
      <c r="C389" s="185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24.0" customHeight="1">
      <c r="A390" s="184"/>
      <c r="B390" s="8"/>
      <c r="C390" s="185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24.0" customHeight="1">
      <c r="A391" s="184"/>
      <c r="B391" s="8"/>
      <c r="C391" s="185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24.0" customHeight="1">
      <c r="A392" s="184"/>
      <c r="B392" s="8"/>
      <c r="C392" s="185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24.0" customHeight="1">
      <c r="A393" s="184"/>
      <c r="B393" s="8"/>
      <c r="C393" s="185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24.0" customHeight="1">
      <c r="A394" s="184"/>
      <c r="B394" s="8"/>
      <c r="C394" s="185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24.0" customHeight="1">
      <c r="A395" s="184"/>
      <c r="B395" s="8"/>
      <c r="C395" s="185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24.0" customHeight="1">
      <c r="A396" s="184"/>
      <c r="B396" s="8"/>
      <c r="C396" s="185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24.0" customHeight="1">
      <c r="A397" s="184"/>
      <c r="B397" s="8"/>
      <c r="C397" s="185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24.0" customHeight="1">
      <c r="A398" s="184"/>
      <c r="B398" s="8"/>
      <c r="C398" s="185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24.0" customHeight="1">
      <c r="A399" s="184"/>
      <c r="B399" s="8"/>
      <c r="C399" s="185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24.0" customHeight="1">
      <c r="A400" s="184"/>
      <c r="B400" s="8"/>
      <c r="C400" s="185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24.0" customHeight="1">
      <c r="A401" s="184"/>
      <c r="B401" s="8"/>
      <c r="C401" s="185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24.0" customHeight="1">
      <c r="A402" s="184"/>
      <c r="B402" s="8"/>
      <c r="C402" s="185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24.0" customHeight="1">
      <c r="A403" s="184"/>
      <c r="B403" s="8"/>
      <c r="C403" s="185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24.0" customHeight="1">
      <c r="A404" s="184"/>
      <c r="B404" s="8"/>
      <c r="C404" s="185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24.0" customHeight="1">
      <c r="A405" s="184"/>
      <c r="B405" s="8"/>
      <c r="C405" s="185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24.0" customHeight="1">
      <c r="A406" s="184"/>
      <c r="B406" s="8"/>
      <c r="C406" s="185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24.0" customHeight="1">
      <c r="A407" s="184"/>
      <c r="B407" s="8"/>
      <c r="C407" s="185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24.0" customHeight="1">
      <c r="A408" s="184"/>
      <c r="B408" s="8"/>
      <c r="C408" s="185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24.0" customHeight="1">
      <c r="A409" s="184"/>
      <c r="B409" s="8"/>
      <c r="C409" s="185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24.0" customHeight="1">
      <c r="A410" s="184"/>
      <c r="B410" s="8"/>
      <c r="C410" s="185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24.0" customHeight="1">
      <c r="A411" s="184"/>
      <c r="B411" s="8"/>
      <c r="C411" s="185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24.0" customHeight="1">
      <c r="A412" s="184"/>
      <c r="B412" s="8"/>
      <c r="C412" s="185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24.0" customHeight="1">
      <c r="A413" s="184"/>
      <c r="B413" s="8"/>
      <c r="C413" s="185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24.0" customHeight="1">
      <c r="A414" s="184"/>
      <c r="B414" s="8"/>
      <c r="C414" s="185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24.0" customHeight="1">
      <c r="A415" s="184"/>
      <c r="B415" s="8"/>
      <c r="C415" s="185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24.0" customHeight="1">
      <c r="A416" s="184"/>
      <c r="B416" s="8"/>
      <c r="C416" s="185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24.0" customHeight="1">
      <c r="A417" s="184"/>
      <c r="B417" s="8"/>
      <c r="C417" s="185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24.0" customHeight="1">
      <c r="A418" s="184"/>
      <c r="B418" s="8"/>
      <c r="C418" s="185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24.0" customHeight="1">
      <c r="A419" s="184"/>
      <c r="B419" s="8"/>
      <c r="C419" s="185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24.0" customHeight="1">
      <c r="A420" s="184"/>
      <c r="B420" s="8"/>
      <c r="C420" s="185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24.0" customHeight="1">
      <c r="A421" s="184"/>
      <c r="B421" s="8"/>
      <c r="C421" s="185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24.0" customHeight="1">
      <c r="A422" s="184"/>
      <c r="B422" s="8"/>
      <c r="C422" s="185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24.0" customHeight="1">
      <c r="A423" s="184"/>
      <c r="B423" s="8"/>
      <c r="C423" s="185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24.0" customHeight="1">
      <c r="A424" s="184"/>
      <c r="B424" s="8"/>
      <c r="C424" s="185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24.0" customHeight="1">
      <c r="A425" s="184"/>
      <c r="B425" s="8"/>
      <c r="C425" s="185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24.0" customHeight="1">
      <c r="A426" s="184"/>
      <c r="B426" s="8"/>
      <c r="C426" s="185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24.0" customHeight="1">
      <c r="A427" s="184"/>
      <c r="B427" s="8"/>
      <c r="C427" s="185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24.0" customHeight="1">
      <c r="A428" s="184"/>
      <c r="B428" s="8"/>
      <c r="C428" s="185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24.0" customHeight="1">
      <c r="A429" s="184"/>
      <c r="B429" s="8"/>
      <c r="C429" s="185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24.0" customHeight="1">
      <c r="A430" s="184"/>
      <c r="B430" s="8"/>
      <c r="C430" s="185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24.0" customHeight="1">
      <c r="A431" s="184"/>
      <c r="B431" s="8"/>
      <c r="C431" s="185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24.0" customHeight="1">
      <c r="A432" s="184"/>
      <c r="B432" s="8"/>
      <c r="C432" s="185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24.0" customHeight="1">
      <c r="A433" s="184"/>
      <c r="B433" s="8"/>
      <c r="C433" s="185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24.0" customHeight="1">
      <c r="A434" s="184"/>
      <c r="B434" s="8"/>
      <c r="C434" s="185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24.0" customHeight="1">
      <c r="A435" s="184"/>
      <c r="B435" s="8"/>
      <c r="C435" s="185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24.0" customHeight="1">
      <c r="A436" s="184"/>
      <c r="B436" s="8"/>
      <c r="C436" s="185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24.0" customHeight="1">
      <c r="A437" s="184"/>
      <c r="B437" s="8"/>
      <c r="C437" s="185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24.0" customHeight="1">
      <c r="A438" s="184"/>
      <c r="B438" s="8"/>
      <c r="C438" s="185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24.0" customHeight="1">
      <c r="A439" s="184"/>
      <c r="B439" s="8"/>
      <c r="C439" s="185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24.0" customHeight="1">
      <c r="A440" s="184"/>
      <c r="B440" s="8"/>
      <c r="C440" s="185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24.0" customHeight="1">
      <c r="A441" s="184"/>
      <c r="B441" s="8"/>
      <c r="C441" s="185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24.0" customHeight="1">
      <c r="A442" s="184"/>
      <c r="B442" s="8"/>
      <c r="C442" s="185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24.0" customHeight="1">
      <c r="A443" s="184"/>
      <c r="B443" s="8"/>
      <c r="C443" s="185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24.0" customHeight="1">
      <c r="A444" s="184"/>
      <c r="B444" s="8"/>
      <c r="C444" s="185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24.0" customHeight="1">
      <c r="A445" s="184"/>
      <c r="B445" s="8"/>
      <c r="C445" s="185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24.0" customHeight="1">
      <c r="A446" s="184"/>
      <c r="B446" s="8"/>
      <c r="C446" s="185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24.0" customHeight="1">
      <c r="A447" s="184"/>
      <c r="B447" s="8"/>
      <c r="C447" s="185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24.0" customHeight="1">
      <c r="A448" s="184"/>
      <c r="B448" s="8"/>
      <c r="C448" s="185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24.0" customHeight="1">
      <c r="A449" s="184"/>
      <c r="B449" s="8"/>
      <c r="C449" s="185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24.0" customHeight="1">
      <c r="A450" s="184"/>
      <c r="B450" s="8"/>
      <c r="C450" s="185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24.0" customHeight="1">
      <c r="A451" s="184"/>
      <c r="B451" s="8"/>
      <c r="C451" s="185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24.0" customHeight="1">
      <c r="A452" s="184"/>
      <c r="B452" s="8"/>
      <c r="C452" s="185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24.0" customHeight="1">
      <c r="A453" s="184"/>
      <c r="B453" s="8"/>
      <c r="C453" s="185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24.0" customHeight="1">
      <c r="A454" s="184"/>
      <c r="B454" s="8"/>
      <c r="C454" s="185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24.0" customHeight="1">
      <c r="A455" s="184"/>
      <c r="B455" s="8"/>
      <c r="C455" s="185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24.0" customHeight="1">
      <c r="A456" s="184"/>
      <c r="B456" s="8"/>
      <c r="C456" s="185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24.0" customHeight="1">
      <c r="A457" s="184"/>
      <c r="B457" s="8"/>
      <c r="C457" s="185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24.0" customHeight="1">
      <c r="A458" s="184"/>
      <c r="B458" s="8"/>
      <c r="C458" s="185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24.0" customHeight="1">
      <c r="A459" s="184"/>
      <c r="B459" s="8"/>
      <c r="C459" s="185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24.0" customHeight="1">
      <c r="A460" s="184"/>
      <c r="B460" s="8"/>
      <c r="C460" s="185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24.0" customHeight="1">
      <c r="A461" s="184"/>
      <c r="B461" s="8"/>
      <c r="C461" s="185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24.0" customHeight="1">
      <c r="A462" s="184"/>
      <c r="B462" s="8"/>
      <c r="C462" s="185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24.0" customHeight="1">
      <c r="A463" s="184"/>
      <c r="B463" s="8"/>
      <c r="C463" s="185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24.0" customHeight="1">
      <c r="A464" s="184"/>
      <c r="B464" s="8"/>
      <c r="C464" s="185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24.0" customHeight="1">
      <c r="A465" s="184"/>
      <c r="B465" s="8"/>
      <c r="C465" s="185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24.0" customHeight="1">
      <c r="A466" s="184"/>
      <c r="B466" s="8"/>
      <c r="C466" s="185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24.0" customHeight="1">
      <c r="A467" s="184"/>
      <c r="B467" s="8"/>
      <c r="C467" s="185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24.0" customHeight="1">
      <c r="A468" s="184"/>
      <c r="B468" s="8"/>
      <c r="C468" s="185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24.0" customHeight="1">
      <c r="A469" s="184"/>
      <c r="B469" s="8"/>
      <c r="C469" s="185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24.0" customHeight="1">
      <c r="A470" s="184"/>
      <c r="B470" s="8"/>
      <c r="C470" s="185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24.0" customHeight="1">
      <c r="A471" s="184"/>
      <c r="B471" s="8"/>
      <c r="C471" s="185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24.0" customHeight="1">
      <c r="A472" s="184"/>
      <c r="B472" s="8"/>
      <c r="C472" s="185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24.0" customHeight="1">
      <c r="A473" s="184"/>
      <c r="B473" s="8"/>
      <c r="C473" s="185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24.0" customHeight="1">
      <c r="A474" s="184"/>
      <c r="B474" s="8"/>
      <c r="C474" s="185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24.0" customHeight="1">
      <c r="A475" s="184"/>
      <c r="B475" s="8"/>
      <c r="C475" s="185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24.0" customHeight="1">
      <c r="A476" s="184"/>
      <c r="B476" s="8"/>
      <c r="C476" s="185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24.0" customHeight="1">
      <c r="A477" s="184"/>
      <c r="B477" s="8"/>
      <c r="C477" s="185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24.0" customHeight="1">
      <c r="A478" s="184"/>
      <c r="B478" s="8"/>
      <c r="C478" s="185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24.0" customHeight="1">
      <c r="A479" s="184"/>
      <c r="B479" s="8"/>
      <c r="C479" s="185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24.0" customHeight="1">
      <c r="A480" s="184"/>
      <c r="B480" s="8"/>
      <c r="C480" s="185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24.0" customHeight="1">
      <c r="A481" s="184"/>
      <c r="B481" s="8"/>
      <c r="C481" s="185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24.0" customHeight="1">
      <c r="A482" s="184"/>
      <c r="B482" s="8"/>
      <c r="C482" s="185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24.0" customHeight="1">
      <c r="A483" s="184"/>
      <c r="B483" s="8"/>
      <c r="C483" s="185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24.0" customHeight="1">
      <c r="A484" s="184"/>
      <c r="B484" s="8"/>
      <c r="C484" s="185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24.0" customHeight="1">
      <c r="A485" s="184"/>
      <c r="B485" s="8"/>
      <c r="C485" s="185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24.0" customHeight="1">
      <c r="A486" s="184"/>
      <c r="B486" s="8"/>
      <c r="C486" s="185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24.0" customHeight="1">
      <c r="A487" s="184"/>
      <c r="B487" s="8"/>
      <c r="C487" s="185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24.0" customHeight="1">
      <c r="A488" s="184"/>
      <c r="B488" s="8"/>
      <c r="C488" s="185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24.0" customHeight="1">
      <c r="A489" s="184"/>
      <c r="B489" s="8"/>
      <c r="C489" s="185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24.0" customHeight="1">
      <c r="A490" s="184"/>
      <c r="B490" s="8"/>
      <c r="C490" s="185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24.0" customHeight="1">
      <c r="A491" s="184"/>
      <c r="B491" s="8"/>
      <c r="C491" s="185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24.0" customHeight="1">
      <c r="A492" s="184"/>
      <c r="B492" s="8"/>
      <c r="C492" s="185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24.0" customHeight="1">
      <c r="A493" s="184"/>
      <c r="B493" s="8"/>
      <c r="C493" s="185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24.0" customHeight="1">
      <c r="A494" s="184"/>
      <c r="B494" s="8"/>
      <c r="C494" s="185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24.0" customHeight="1">
      <c r="A495" s="184"/>
      <c r="B495" s="8"/>
      <c r="C495" s="185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24.0" customHeight="1">
      <c r="A496" s="184"/>
      <c r="B496" s="8"/>
      <c r="C496" s="185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24.0" customHeight="1">
      <c r="A497" s="184"/>
      <c r="B497" s="8"/>
      <c r="C497" s="185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24.0" customHeight="1">
      <c r="A498" s="184"/>
      <c r="B498" s="8"/>
      <c r="C498" s="185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24.0" customHeight="1">
      <c r="A499" s="184"/>
      <c r="B499" s="8"/>
      <c r="C499" s="185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24.0" customHeight="1">
      <c r="A500" s="184"/>
      <c r="B500" s="8"/>
      <c r="C500" s="185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24.0" customHeight="1">
      <c r="A501" s="184"/>
      <c r="B501" s="8"/>
      <c r="C501" s="185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24.0" customHeight="1">
      <c r="A502" s="184"/>
      <c r="B502" s="8"/>
      <c r="C502" s="185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24.0" customHeight="1">
      <c r="A503" s="184"/>
      <c r="B503" s="8"/>
      <c r="C503" s="185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24.0" customHeight="1">
      <c r="A504" s="184"/>
      <c r="B504" s="8"/>
      <c r="C504" s="185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24.0" customHeight="1">
      <c r="A505" s="184"/>
      <c r="B505" s="8"/>
      <c r="C505" s="185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24.0" customHeight="1">
      <c r="A506" s="184"/>
      <c r="B506" s="8"/>
      <c r="C506" s="185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24.0" customHeight="1">
      <c r="A507" s="184"/>
      <c r="B507" s="8"/>
      <c r="C507" s="185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24.0" customHeight="1">
      <c r="A508" s="184"/>
      <c r="B508" s="8"/>
      <c r="C508" s="185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24.0" customHeight="1">
      <c r="A509" s="184"/>
      <c r="B509" s="8"/>
      <c r="C509" s="185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24.0" customHeight="1">
      <c r="A510" s="184"/>
      <c r="B510" s="8"/>
      <c r="C510" s="185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24.0" customHeight="1">
      <c r="A511" s="184"/>
      <c r="B511" s="8"/>
      <c r="C511" s="185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24.0" customHeight="1">
      <c r="A512" s="184"/>
      <c r="B512" s="8"/>
      <c r="C512" s="185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24.0" customHeight="1">
      <c r="A513" s="184"/>
      <c r="B513" s="8"/>
      <c r="C513" s="185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24.0" customHeight="1">
      <c r="A514" s="184"/>
      <c r="B514" s="8"/>
      <c r="C514" s="185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24.0" customHeight="1">
      <c r="A515" s="184"/>
      <c r="B515" s="8"/>
      <c r="C515" s="185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24.0" customHeight="1">
      <c r="A516" s="184"/>
      <c r="B516" s="8"/>
      <c r="C516" s="185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24.0" customHeight="1">
      <c r="A517" s="184"/>
      <c r="B517" s="8"/>
      <c r="C517" s="185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24.0" customHeight="1">
      <c r="A518" s="184"/>
      <c r="B518" s="8"/>
      <c r="C518" s="185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24.0" customHeight="1">
      <c r="A519" s="184"/>
      <c r="B519" s="8"/>
      <c r="C519" s="185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24.0" customHeight="1">
      <c r="A520" s="184"/>
      <c r="B520" s="8"/>
      <c r="C520" s="185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24.0" customHeight="1">
      <c r="A521" s="184"/>
      <c r="B521" s="8"/>
      <c r="C521" s="185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24.0" customHeight="1">
      <c r="A522" s="184"/>
      <c r="B522" s="8"/>
      <c r="C522" s="185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24.0" customHeight="1">
      <c r="A523" s="184"/>
      <c r="B523" s="8"/>
      <c r="C523" s="185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24.0" customHeight="1">
      <c r="A524" s="184"/>
      <c r="B524" s="8"/>
      <c r="C524" s="185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24.0" customHeight="1">
      <c r="A525" s="184"/>
      <c r="B525" s="8"/>
      <c r="C525" s="185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24.0" customHeight="1">
      <c r="A526" s="184"/>
      <c r="B526" s="8"/>
      <c r="C526" s="185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24.0" customHeight="1">
      <c r="A527" s="184"/>
      <c r="B527" s="8"/>
      <c r="C527" s="185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24.0" customHeight="1">
      <c r="A528" s="184"/>
      <c r="B528" s="8"/>
      <c r="C528" s="185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24.0" customHeight="1">
      <c r="A529" s="184"/>
      <c r="B529" s="8"/>
      <c r="C529" s="185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24.0" customHeight="1">
      <c r="A530" s="184"/>
      <c r="B530" s="8"/>
      <c r="C530" s="185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24.0" customHeight="1">
      <c r="A531" s="184"/>
      <c r="B531" s="8"/>
      <c r="C531" s="185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24.0" customHeight="1">
      <c r="A532" s="184"/>
      <c r="B532" s="8"/>
      <c r="C532" s="185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24.0" customHeight="1">
      <c r="A533" s="184"/>
      <c r="B533" s="8"/>
      <c r="C533" s="185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24.0" customHeight="1">
      <c r="A534" s="184"/>
      <c r="B534" s="8"/>
      <c r="C534" s="185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24.0" customHeight="1">
      <c r="A535" s="184"/>
      <c r="B535" s="8"/>
      <c r="C535" s="185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24.0" customHeight="1">
      <c r="A536" s="184"/>
      <c r="B536" s="8"/>
      <c r="C536" s="185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24.0" customHeight="1">
      <c r="A537" s="184"/>
      <c r="B537" s="8"/>
      <c r="C537" s="185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24.0" customHeight="1">
      <c r="A538" s="184"/>
      <c r="B538" s="8"/>
      <c r="C538" s="185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24.0" customHeight="1">
      <c r="A539" s="184"/>
      <c r="B539" s="8"/>
      <c r="C539" s="185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24.0" customHeight="1">
      <c r="A540" s="184"/>
      <c r="B540" s="8"/>
      <c r="C540" s="185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24.0" customHeight="1">
      <c r="A541" s="184"/>
      <c r="B541" s="8"/>
      <c r="C541" s="185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24.0" customHeight="1">
      <c r="A542" s="184"/>
      <c r="B542" s="8"/>
      <c r="C542" s="185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24.0" customHeight="1">
      <c r="A543" s="184"/>
      <c r="B543" s="8"/>
      <c r="C543" s="185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24.0" customHeight="1">
      <c r="A544" s="184"/>
      <c r="B544" s="8"/>
      <c r="C544" s="185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24.0" customHeight="1">
      <c r="A545" s="184"/>
      <c r="B545" s="8"/>
      <c r="C545" s="185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24.0" customHeight="1">
      <c r="A546" s="184"/>
      <c r="B546" s="8"/>
      <c r="C546" s="185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24.0" customHeight="1">
      <c r="A547" s="184"/>
      <c r="B547" s="8"/>
      <c r="C547" s="185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24.0" customHeight="1">
      <c r="A548" s="184"/>
      <c r="B548" s="8"/>
      <c r="C548" s="185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24.0" customHeight="1">
      <c r="A549" s="184"/>
      <c r="B549" s="8"/>
      <c r="C549" s="185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24.0" customHeight="1">
      <c r="A550" s="184"/>
      <c r="B550" s="8"/>
      <c r="C550" s="185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24.0" customHeight="1">
      <c r="A551" s="184"/>
      <c r="B551" s="8"/>
      <c r="C551" s="185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24.0" customHeight="1">
      <c r="A552" s="184"/>
      <c r="B552" s="8"/>
      <c r="C552" s="185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24.0" customHeight="1">
      <c r="A553" s="184"/>
      <c r="B553" s="8"/>
      <c r="C553" s="185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24.0" customHeight="1">
      <c r="A554" s="184"/>
      <c r="B554" s="8"/>
      <c r="C554" s="185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24.0" customHeight="1">
      <c r="A555" s="184"/>
      <c r="B555" s="8"/>
      <c r="C555" s="185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24.0" customHeight="1">
      <c r="A556" s="184"/>
      <c r="B556" s="8"/>
      <c r="C556" s="185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24.0" customHeight="1">
      <c r="A557" s="184"/>
      <c r="B557" s="8"/>
      <c r="C557" s="185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24.0" customHeight="1">
      <c r="A558" s="184"/>
      <c r="B558" s="8"/>
      <c r="C558" s="185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24.0" customHeight="1">
      <c r="A559" s="184"/>
      <c r="B559" s="8"/>
      <c r="C559" s="185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24.0" customHeight="1">
      <c r="A560" s="184"/>
      <c r="B560" s="8"/>
      <c r="C560" s="185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24.0" customHeight="1">
      <c r="A561" s="184"/>
      <c r="B561" s="8"/>
      <c r="C561" s="185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24.0" customHeight="1">
      <c r="A562" s="184"/>
      <c r="B562" s="8"/>
      <c r="C562" s="185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24.0" customHeight="1">
      <c r="A563" s="184"/>
      <c r="B563" s="8"/>
      <c r="C563" s="185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24.0" customHeight="1">
      <c r="A564" s="184"/>
      <c r="B564" s="8"/>
      <c r="C564" s="185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24.0" customHeight="1">
      <c r="A565" s="184"/>
      <c r="B565" s="8"/>
      <c r="C565" s="185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24.0" customHeight="1">
      <c r="A566" s="184"/>
      <c r="B566" s="8"/>
      <c r="C566" s="185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24.0" customHeight="1">
      <c r="A567" s="184"/>
      <c r="B567" s="8"/>
      <c r="C567" s="185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24.0" customHeight="1">
      <c r="A568" s="184"/>
      <c r="B568" s="8"/>
      <c r="C568" s="185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24.0" customHeight="1">
      <c r="A569" s="184"/>
      <c r="B569" s="8"/>
      <c r="C569" s="185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24.0" customHeight="1">
      <c r="A570" s="184"/>
      <c r="B570" s="8"/>
      <c r="C570" s="185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24.0" customHeight="1">
      <c r="A571" s="184"/>
      <c r="B571" s="8"/>
      <c r="C571" s="185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24.0" customHeight="1">
      <c r="A572" s="184"/>
      <c r="B572" s="8"/>
      <c r="C572" s="185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24.0" customHeight="1">
      <c r="A573" s="184"/>
      <c r="B573" s="8"/>
      <c r="C573" s="185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24.0" customHeight="1">
      <c r="A574" s="184"/>
      <c r="B574" s="8"/>
      <c r="C574" s="185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24.0" customHeight="1">
      <c r="A575" s="184"/>
      <c r="B575" s="8"/>
      <c r="C575" s="185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24.0" customHeight="1">
      <c r="A576" s="184"/>
      <c r="B576" s="8"/>
      <c r="C576" s="185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24.0" customHeight="1">
      <c r="A577" s="184"/>
      <c r="B577" s="8"/>
      <c r="C577" s="185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24.0" customHeight="1">
      <c r="A578" s="184"/>
      <c r="B578" s="8"/>
      <c r="C578" s="185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24.0" customHeight="1">
      <c r="A579" s="184"/>
      <c r="B579" s="8"/>
      <c r="C579" s="185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24.0" customHeight="1">
      <c r="A580" s="184"/>
      <c r="B580" s="8"/>
      <c r="C580" s="185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24.0" customHeight="1">
      <c r="A581" s="184"/>
      <c r="B581" s="8"/>
      <c r="C581" s="185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24.0" customHeight="1">
      <c r="A582" s="184"/>
      <c r="B582" s="8"/>
      <c r="C582" s="185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24.0" customHeight="1">
      <c r="A583" s="184"/>
      <c r="B583" s="8"/>
      <c r="C583" s="185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24.0" customHeight="1">
      <c r="A584" s="184"/>
      <c r="B584" s="8"/>
      <c r="C584" s="185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24.0" customHeight="1">
      <c r="A585" s="184"/>
      <c r="B585" s="8"/>
      <c r="C585" s="185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24.0" customHeight="1">
      <c r="A586" s="184"/>
      <c r="B586" s="8"/>
      <c r="C586" s="185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24.0" customHeight="1">
      <c r="A587" s="184"/>
      <c r="B587" s="8"/>
      <c r="C587" s="185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24.0" customHeight="1">
      <c r="A588" s="184"/>
      <c r="B588" s="8"/>
      <c r="C588" s="185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24.0" customHeight="1">
      <c r="A589" s="184"/>
      <c r="B589" s="8"/>
      <c r="C589" s="185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24.0" customHeight="1">
      <c r="A590" s="184"/>
      <c r="B590" s="8"/>
      <c r="C590" s="185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24.0" customHeight="1">
      <c r="A591" s="184"/>
      <c r="B591" s="8"/>
      <c r="C591" s="185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24.0" customHeight="1">
      <c r="A592" s="184"/>
      <c r="B592" s="8"/>
      <c r="C592" s="185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24.0" customHeight="1">
      <c r="A593" s="184"/>
      <c r="B593" s="8"/>
      <c r="C593" s="185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24.0" customHeight="1">
      <c r="A594" s="184"/>
      <c r="B594" s="8"/>
      <c r="C594" s="185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24.0" customHeight="1">
      <c r="A595" s="184"/>
      <c r="B595" s="8"/>
      <c r="C595" s="185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24.0" customHeight="1">
      <c r="A596" s="184"/>
      <c r="B596" s="8"/>
      <c r="C596" s="185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24.0" customHeight="1">
      <c r="A597" s="184"/>
      <c r="B597" s="8"/>
      <c r="C597" s="185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24.0" customHeight="1">
      <c r="A598" s="184"/>
      <c r="B598" s="8"/>
      <c r="C598" s="185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24.0" customHeight="1">
      <c r="A599" s="184"/>
      <c r="B599" s="8"/>
      <c r="C599" s="185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24.0" customHeight="1">
      <c r="A600" s="184"/>
      <c r="B600" s="8"/>
      <c r="C600" s="185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24.0" customHeight="1">
      <c r="A601" s="184"/>
      <c r="B601" s="8"/>
      <c r="C601" s="185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24.0" customHeight="1">
      <c r="A602" s="184"/>
      <c r="B602" s="8"/>
      <c r="C602" s="185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24.0" customHeight="1">
      <c r="A603" s="184"/>
      <c r="B603" s="8"/>
      <c r="C603" s="185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24.0" customHeight="1">
      <c r="A604" s="184"/>
      <c r="B604" s="8"/>
      <c r="C604" s="185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24.0" customHeight="1">
      <c r="A605" s="184"/>
      <c r="B605" s="8"/>
      <c r="C605" s="185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24.0" customHeight="1">
      <c r="A606" s="184"/>
      <c r="B606" s="8"/>
      <c r="C606" s="185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24.0" customHeight="1">
      <c r="A607" s="184"/>
      <c r="B607" s="8"/>
      <c r="C607" s="185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24.0" customHeight="1">
      <c r="A608" s="184"/>
      <c r="B608" s="8"/>
      <c r="C608" s="185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24.0" customHeight="1">
      <c r="A609" s="184"/>
      <c r="B609" s="8"/>
      <c r="C609" s="185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24.0" customHeight="1">
      <c r="A610" s="184"/>
      <c r="B610" s="8"/>
      <c r="C610" s="185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24.0" customHeight="1">
      <c r="A611" s="184"/>
      <c r="B611" s="8"/>
      <c r="C611" s="185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24.0" customHeight="1">
      <c r="A612" s="184"/>
      <c r="B612" s="8"/>
      <c r="C612" s="185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24.0" customHeight="1">
      <c r="A613" s="184"/>
      <c r="B613" s="8"/>
      <c r="C613" s="185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24.0" customHeight="1">
      <c r="A614" s="184"/>
      <c r="B614" s="8"/>
      <c r="C614" s="185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24.0" customHeight="1">
      <c r="A615" s="184"/>
      <c r="B615" s="8"/>
      <c r="C615" s="185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24.0" customHeight="1">
      <c r="A616" s="184"/>
      <c r="B616" s="8"/>
      <c r="C616" s="185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24.0" customHeight="1">
      <c r="A617" s="184"/>
      <c r="B617" s="8"/>
      <c r="C617" s="185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24.0" customHeight="1">
      <c r="A618" s="184"/>
      <c r="B618" s="8"/>
      <c r="C618" s="185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24.0" customHeight="1">
      <c r="A619" s="184"/>
      <c r="B619" s="8"/>
      <c r="C619" s="185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24.0" customHeight="1">
      <c r="A620" s="184"/>
      <c r="B620" s="8"/>
      <c r="C620" s="185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24.0" customHeight="1">
      <c r="A621" s="184"/>
      <c r="B621" s="8"/>
      <c r="C621" s="185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24.0" customHeight="1">
      <c r="A622" s="184"/>
      <c r="B622" s="8"/>
      <c r="C622" s="185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24.0" customHeight="1">
      <c r="A623" s="184"/>
      <c r="B623" s="8"/>
      <c r="C623" s="185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24.0" customHeight="1">
      <c r="A624" s="184"/>
      <c r="B624" s="8"/>
      <c r="C624" s="185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24.0" customHeight="1">
      <c r="A625" s="184"/>
      <c r="B625" s="8"/>
      <c r="C625" s="185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24.0" customHeight="1">
      <c r="A626" s="184"/>
      <c r="B626" s="8"/>
      <c r="C626" s="185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24.0" customHeight="1">
      <c r="A627" s="184"/>
      <c r="B627" s="8"/>
      <c r="C627" s="185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24.0" customHeight="1">
      <c r="A628" s="184"/>
      <c r="B628" s="8"/>
      <c r="C628" s="185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24.0" customHeight="1">
      <c r="A629" s="184"/>
      <c r="B629" s="8"/>
      <c r="C629" s="185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24.0" customHeight="1">
      <c r="A630" s="184"/>
      <c r="B630" s="8"/>
      <c r="C630" s="185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24.0" customHeight="1">
      <c r="A631" s="184"/>
      <c r="B631" s="8"/>
      <c r="C631" s="185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24.0" customHeight="1">
      <c r="A632" s="184"/>
      <c r="B632" s="8"/>
      <c r="C632" s="185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24.0" customHeight="1">
      <c r="A633" s="184"/>
      <c r="B633" s="8"/>
      <c r="C633" s="185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24.0" customHeight="1">
      <c r="A634" s="184"/>
      <c r="B634" s="8"/>
      <c r="C634" s="185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24.0" customHeight="1">
      <c r="A635" s="184"/>
      <c r="B635" s="8"/>
      <c r="C635" s="185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24.0" customHeight="1">
      <c r="A636" s="184"/>
      <c r="B636" s="8"/>
      <c r="C636" s="185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24.0" customHeight="1">
      <c r="A637" s="184"/>
      <c r="B637" s="8"/>
      <c r="C637" s="185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24.0" customHeight="1">
      <c r="A638" s="184"/>
      <c r="B638" s="8"/>
      <c r="C638" s="185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24.0" customHeight="1">
      <c r="A639" s="184"/>
      <c r="B639" s="8"/>
      <c r="C639" s="185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24.0" customHeight="1">
      <c r="A640" s="184"/>
      <c r="B640" s="8"/>
      <c r="C640" s="185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24.0" customHeight="1">
      <c r="A641" s="184"/>
      <c r="B641" s="8"/>
      <c r="C641" s="185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24.0" customHeight="1">
      <c r="A642" s="184"/>
      <c r="B642" s="8"/>
      <c r="C642" s="185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24.0" customHeight="1">
      <c r="A643" s="184"/>
      <c r="B643" s="8"/>
      <c r="C643" s="185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24.0" customHeight="1">
      <c r="A644" s="184"/>
      <c r="B644" s="8"/>
      <c r="C644" s="185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24.0" customHeight="1">
      <c r="A645" s="184"/>
      <c r="B645" s="8"/>
      <c r="C645" s="185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24.0" customHeight="1">
      <c r="A646" s="184"/>
      <c r="B646" s="8"/>
      <c r="C646" s="185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24.0" customHeight="1">
      <c r="A647" s="184"/>
      <c r="B647" s="8"/>
      <c r="C647" s="185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24.0" customHeight="1">
      <c r="A648" s="184"/>
      <c r="B648" s="8"/>
      <c r="C648" s="185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24.0" customHeight="1">
      <c r="A649" s="184"/>
      <c r="B649" s="8"/>
      <c r="C649" s="185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24.0" customHeight="1">
      <c r="A650" s="184"/>
      <c r="B650" s="8"/>
      <c r="C650" s="185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24.0" customHeight="1">
      <c r="A651" s="184"/>
      <c r="B651" s="8"/>
      <c r="C651" s="185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24.0" customHeight="1">
      <c r="A652" s="184"/>
      <c r="B652" s="8"/>
      <c r="C652" s="185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24.0" customHeight="1">
      <c r="A653" s="184"/>
      <c r="B653" s="8"/>
      <c r="C653" s="185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24.0" customHeight="1">
      <c r="A654" s="184"/>
      <c r="B654" s="8"/>
      <c r="C654" s="185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24.0" customHeight="1">
      <c r="A655" s="184"/>
      <c r="B655" s="8"/>
      <c r="C655" s="185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24.0" customHeight="1">
      <c r="A656" s="184"/>
      <c r="B656" s="8"/>
      <c r="C656" s="185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24.0" customHeight="1">
      <c r="A657" s="184"/>
      <c r="B657" s="8"/>
      <c r="C657" s="185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24.0" customHeight="1">
      <c r="A658" s="184"/>
      <c r="B658" s="8"/>
      <c r="C658" s="185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24.0" customHeight="1">
      <c r="A659" s="184"/>
      <c r="B659" s="8"/>
      <c r="C659" s="185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24.0" customHeight="1">
      <c r="A660" s="184"/>
      <c r="B660" s="8"/>
      <c r="C660" s="185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24.0" customHeight="1">
      <c r="A661" s="184"/>
      <c r="B661" s="8"/>
      <c r="C661" s="185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24.0" customHeight="1">
      <c r="A662" s="184"/>
      <c r="B662" s="8"/>
      <c r="C662" s="185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24.0" customHeight="1">
      <c r="A663" s="184"/>
      <c r="B663" s="8"/>
      <c r="C663" s="185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24.0" customHeight="1">
      <c r="A664" s="184"/>
      <c r="B664" s="8"/>
      <c r="C664" s="185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24.0" customHeight="1">
      <c r="A665" s="184"/>
      <c r="B665" s="8"/>
      <c r="C665" s="185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24.0" customHeight="1">
      <c r="A666" s="184"/>
      <c r="B666" s="8"/>
      <c r="C666" s="185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24.0" customHeight="1">
      <c r="A667" s="184"/>
      <c r="B667" s="8"/>
      <c r="C667" s="185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24.0" customHeight="1">
      <c r="A668" s="184"/>
      <c r="B668" s="8"/>
      <c r="C668" s="185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24.0" customHeight="1">
      <c r="A669" s="184"/>
      <c r="B669" s="8"/>
      <c r="C669" s="185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24.0" customHeight="1">
      <c r="A670" s="184"/>
      <c r="B670" s="8"/>
      <c r="C670" s="185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24.0" customHeight="1">
      <c r="A671" s="184"/>
      <c r="B671" s="8"/>
      <c r="C671" s="185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24.0" customHeight="1">
      <c r="A672" s="184"/>
      <c r="B672" s="8"/>
      <c r="C672" s="185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24.0" customHeight="1">
      <c r="A673" s="184"/>
      <c r="B673" s="8"/>
      <c r="C673" s="185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24.0" customHeight="1">
      <c r="A674" s="184"/>
      <c r="B674" s="8"/>
      <c r="C674" s="185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24.0" customHeight="1">
      <c r="A675" s="184"/>
      <c r="B675" s="8"/>
      <c r="C675" s="185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24.0" customHeight="1">
      <c r="A676" s="184"/>
      <c r="B676" s="8"/>
      <c r="C676" s="185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24.0" customHeight="1">
      <c r="A677" s="184"/>
      <c r="B677" s="8"/>
      <c r="C677" s="185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24.0" customHeight="1">
      <c r="A678" s="184"/>
      <c r="B678" s="8"/>
      <c r="C678" s="185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24.0" customHeight="1">
      <c r="A679" s="184"/>
      <c r="B679" s="8"/>
      <c r="C679" s="185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24.0" customHeight="1">
      <c r="A680" s="184"/>
      <c r="B680" s="8"/>
      <c r="C680" s="185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24.0" customHeight="1">
      <c r="A681" s="184"/>
      <c r="B681" s="8"/>
      <c r="C681" s="185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24.0" customHeight="1">
      <c r="A682" s="184"/>
      <c r="B682" s="8"/>
      <c r="C682" s="185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24.0" customHeight="1">
      <c r="A683" s="184"/>
      <c r="B683" s="8"/>
      <c r="C683" s="185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24.0" customHeight="1">
      <c r="A684" s="184"/>
      <c r="B684" s="8"/>
      <c r="C684" s="185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24.0" customHeight="1">
      <c r="A685" s="184"/>
      <c r="B685" s="8"/>
      <c r="C685" s="185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24.0" customHeight="1">
      <c r="A686" s="184"/>
      <c r="B686" s="8"/>
      <c r="C686" s="185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24.0" customHeight="1">
      <c r="A687" s="184"/>
      <c r="B687" s="8"/>
      <c r="C687" s="185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24.0" customHeight="1">
      <c r="A688" s="184"/>
      <c r="B688" s="8"/>
      <c r="C688" s="185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24.0" customHeight="1">
      <c r="A689" s="184"/>
      <c r="B689" s="8"/>
      <c r="C689" s="185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24.0" customHeight="1">
      <c r="A690" s="184"/>
      <c r="B690" s="8"/>
      <c r="C690" s="185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24.0" customHeight="1">
      <c r="A691" s="184"/>
      <c r="B691" s="8"/>
      <c r="C691" s="185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24.0" customHeight="1">
      <c r="A692" s="184"/>
      <c r="B692" s="8"/>
      <c r="C692" s="185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24.0" customHeight="1">
      <c r="A693" s="184"/>
      <c r="B693" s="8"/>
      <c r="C693" s="185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24.0" customHeight="1">
      <c r="A694" s="184"/>
      <c r="B694" s="8"/>
      <c r="C694" s="185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24.0" customHeight="1">
      <c r="A695" s="184"/>
      <c r="B695" s="8"/>
      <c r="C695" s="185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24.0" customHeight="1">
      <c r="A696" s="184"/>
      <c r="B696" s="8"/>
      <c r="C696" s="185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24.0" customHeight="1">
      <c r="A697" s="184"/>
      <c r="B697" s="8"/>
      <c r="C697" s="185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24.0" customHeight="1">
      <c r="A698" s="184"/>
      <c r="B698" s="8"/>
      <c r="C698" s="185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24.0" customHeight="1">
      <c r="A699" s="184"/>
      <c r="B699" s="8"/>
      <c r="C699" s="185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24.0" customHeight="1">
      <c r="A700" s="184"/>
      <c r="B700" s="8"/>
      <c r="C700" s="185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24.0" customHeight="1">
      <c r="A701" s="184"/>
      <c r="B701" s="8"/>
      <c r="C701" s="185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24.0" customHeight="1">
      <c r="A702" s="184"/>
      <c r="B702" s="8"/>
      <c r="C702" s="185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24.0" customHeight="1">
      <c r="A703" s="184"/>
      <c r="B703" s="8"/>
      <c r="C703" s="185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24.0" customHeight="1">
      <c r="A704" s="184"/>
      <c r="B704" s="8"/>
      <c r="C704" s="185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24.0" customHeight="1">
      <c r="A705" s="184"/>
      <c r="B705" s="8"/>
      <c r="C705" s="185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24.0" customHeight="1">
      <c r="A706" s="184"/>
      <c r="B706" s="8"/>
      <c r="C706" s="185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24.0" customHeight="1">
      <c r="A707" s="184"/>
      <c r="B707" s="8"/>
      <c r="C707" s="185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24.0" customHeight="1">
      <c r="A708" s="184"/>
      <c r="B708" s="8"/>
      <c r="C708" s="185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24.0" customHeight="1">
      <c r="A709" s="184"/>
      <c r="B709" s="8"/>
      <c r="C709" s="185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24.0" customHeight="1">
      <c r="A710" s="184"/>
      <c r="B710" s="8"/>
      <c r="C710" s="185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24.0" customHeight="1">
      <c r="A711" s="184"/>
      <c r="B711" s="8"/>
      <c r="C711" s="185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24.0" customHeight="1">
      <c r="A712" s="184"/>
      <c r="B712" s="8"/>
      <c r="C712" s="185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24.0" customHeight="1">
      <c r="A713" s="184"/>
      <c r="B713" s="8"/>
      <c r="C713" s="185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24.0" customHeight="1">
      <c r="A714" s="184"/>
      <c r="B714" s="8"/>
      <c r="C714" s="185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24.0" customHeight="1">
      <c r="A715" s="184"/>
      <c r="B715" s="8"/>
      <c r="C715" s="185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24.0" customHeight="1">
      <c r="A716" s="184"/>
      <c r="B716" s="8"/>
      <c r="C716" s="185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24.0" customHeight="1">
      <c r="A717" s="184"/>
      <c r="B717" s="8"/>
      <c r="C717" s="185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24.0" customHeight="1">
      <c r="A718" s="184"/>
      <c r="B718" s="8"/>
      <c r="C718" s="185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24.0" customHeight="1">
      <c r="A719" s="184"/>
      <c r="B719" s="8"/>
      <c r="C719" s="185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24.0" customHeight="1">
      <c r="A720" s="184"/>
      <c r="B720" s="8"/>
      <c r="C720" s="185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24.0" customHeight="1">
      <c r="A721" s="184"/>
      <c r="B721" s="8"/>
      <c r="C721" s="185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24.0" customHeight="1">
      <c r="A722" s="184"/>
      <c r="B722" s="8"/>
      <c r="C722" s="185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24.0" customHeight="1">
      <c r="A723" s="184"/>
      <c r="B723" s="8"/>
      <c r="C723" s="185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24.0" customHeight="1">
      <c r="A724" s="184"/>
      <c r="B724" s="8"/>
      <c r="C724" s="185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24.0" customHeight="1">
      <c r="A725" s="184"/>
      <c r="B725" s="8"/>
      <c r="C725" s="185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24.0" customHeight="1">
      <c r="A726" s="184"/>
      <c r="B726" s="8"/>
      <c r="C726" s="185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24.0" customHeight="1">
      <c r="A727" s="184"/>
      <c r="B727" s="8"/>
      <c r="C727" s="185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24.0" customHeight="1">
      <c r="A728" s="184"/>
      <c r="B728" s="8"/>
      <c r="C728" s="185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24.0" customHeight="1">
      <c r="A729" s="184"/>
      <c r="B729" s="8"/>
      <c r="C729" s="185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24.0" customHeight="1">
      <c r="A730" s="184"/>
      <c r="B730" s="8"/>
      <c r="C730" s="185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24.0" customHeight="1">
      <c r="A731" s="184"/>
      <c r="B731" s="8"/>
      <c r="C731" s="185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24.0" customHeight="1">
      <c r="A732" s="184"/>
      <c r="B732" s="8"/>
      <c r="C732" s="185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24.0" customHeight="1">
      <c r="A733" s="184"/>
      <c r="B733" s="8"/>
      <c r="C733" s="185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24.0" customHeight="1">
      <c r="A734" s="184"/>
      <c r="B734" s="8"/>
      <c r="C734" s="185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24.0" customHeight="1">
      <c r="A735" s="184"/>
      <c r="B735" s="8"/>
      <c r="C735" s="185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24.0" customHeight="1">
      <c r="A736" s="184"/>
      <c r="B736" s="8"/>
      <c r="C736" s="185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24.0" customHeight="1">
      <c r="A737" s="184"/>
      <c r="B737" s="8"/>
      <c r="C737" s="185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24.0" customHeight="1">
      <c r="A738" s="184"/>
      <c r="B738" s="8"/>
      <c r="C738" s="185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24.0" customHeight="1">
      <c r="A739" s="184"/>
      <c r="B739" s="8"/>
      <c r="C739" s="185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24.0" customHeight="1">
      <c r="A740" s="184"/>
      <c r="B740" s="8"/>
      <c r="C740" s="185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24.0" customHeight="1">
      <c r="A741" s="184"/>
      <c r="B741" s="8"/>
      <c r="C741" s="185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24.0" customHeight="1">
      <c r="A742" s="184"/>
      <c r="B742" s="8"/>
      <c r="C742" s="185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24.0" customHeight="1">
      <c r="A743" s="184"/>
      <c r="B743" s="8"/>
      <c r="C743" s="185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24.0" customHeight="1">
      <c r="A744" s="184"/>
      <c r="B744" s="8"/>
      <c r="C744" s="185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24.0" customHeight="1">
      <c r="A745" s="184"/>
      <c r="B745" s="8"/>
      <c r="C745" s="185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24.0" customHeight="1">
      <c r="A746" s="184"/>
      <c r="B746" s="8"/>
      <c r="C746" s="185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24.0" customHeight="1">
      <c r="A747" s="184"/>
      <c r="B747" s="8"/>
      <c r="C747" s="185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24.0" customHeight="1">
      <c r="A748" s="184"/>
      <c r="B748" s="8"/>
      <c r="C748" s="185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24.0" customHeight="1">
      <c r="A749" s="184"/>
      <c r="B749" s="8"/>
      <c r="C749" s="185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24.0" customHeight="1">
      <c r="A750" s="184"/>
      <c r="B750" s="8"/>
      <c r="C750" s="185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24.0" customHeight="1">
      <c r="A751" s="184"/>
      <c r="B751" s="8"/>
      <c r="C751" s="185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24.0" customHeight="1">
      <c r="A752" s="184"/>
      <c r="B752" s="8"/>
      <c r="C752" s="185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24.0" customHeight="1">
      <c r="A753" s="184"/>
      <c r="B753" s="8"/>
      <c r="C753" s="185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24.0" customHeight="1">
      <c r="A754" s="184"/>
      <c r="B754" s="8"/>
      <c r="C754" s="185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24.0" customHeight="1">
      <c r="A755" s="184"/>
      <c r="B755" s="8"/>
      <c r="C755" s="185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24.0" customHeight="1">
      <c r="A756" s="184"/>
      <c r="B756" s="8"/>
      <c r="C756" s="185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24.0" customHeight="1">
      <c r="A757" s="184"/>
      <c r="B757" s="8"/>
      <c r="C757" s="185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24.0" customHeight="1">
      <c r="A758" s="184"/>
      <c r="B758" s="8"/>
      <c r="C758" s="185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24.0" customHeight="1">
      <c r="A759" s="184"/>
      <c r="B759" s="8"/>
      <c r="C759" s="185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24.0" customHeight="1">
      <c r="A760" s="184"/>
      <c r="B760" s="8"/>
      <c r="C760" s="185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24.0" customHeight="1">
      <c r="A761" s="184"/>
      <c r="B761" s="8"/>
      <c r="C761" s="185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24.0" customHeight="1">
      <c r="A762" s="184"/>
      <c r="B762" s="8"/>
      <c r="C762" s="185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24.0" customHeight="1">
      <c r="A763" s="184"/>
      <c r="B763" s="8"/>
      <c r="C763" s="185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24.0" customHeight="1">
      <c r="A764" s="184"/>
      <c r="B764" s="8"/>
      <c r="C764" s="185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24.0" customHeight="1">
      <c r="A765" s="184"/>
      <c r="B765" s="8"/>
      <c r="C765" s="185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24.0" customHeight="1">
      <c r="A766" s="184"/>
      <c r="B766" s="8"/>
      <c r="C766" s="185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24.0" customHeight="1">
      <c r="A767" s="184"/>
      <c r="B767" s="8"/>
      <c r="C767" s="185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24.0" customHeight="1">
      <c r="A768" s="184"/>
      <c r="B768" s="8"/>
      <c r="C768" s="185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24.0" customHeight="1">
      <c r="A769" s="184"/>
      <c r="B769" s="8"/>
      <c r="C769" s="185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24.0" customHeight="1">
      <c r="A770" s="184"/>
      <c r="B770" s="8"/>
      <c r="C770" s="185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24.0" customHeight="1">
      <c r="A771" s="184"/>
      <c r="B771" s="8"/>
      <c r="C771" s="185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24.0" customHeight="1">
      <c r="A772" s="184"/>
      <c r="B772" s="8"/>
      <c r="C772" s="185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24.0" customHeight="1">
      <c r="A773" s="184"/>
      <c r="B773" s="8"/>
      <c r="C773" s="185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24.0" customHeight="1">
      <c r="A774" s="184"/>
      <c r="B774" s="8"/>
      <c r="C774" s="185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24.0" customHeight="1">
      <c r="A775" s="184"/>
      <c r="B775" s="8"/>
      <c r="C775" s="185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24.0" customHeight="1">
      <c r="A776" s="184"/>
      <c r="B776" s="8"/>
      <c r="C776" s="185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24.0" customHeight="1">
      <c r="A777" s="184"/>
      <c r="B777" s="8"/>
      <c r="C777" s="185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24.0" customHeight="1">
      <c r="A778" s="184"/>
      <c r="B778" s="8"/>
      <c r="C778" s="185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24.0" customHeight="1">
      <c r="A779" s="184"/>
      <c r="B779" s="8"/>
      <c r="C779" s="185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24.0" customHeight="1">
      <c r="A780" s="184"/>
      <c r="B780" s="8"/>
      <c r="C780" s="185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24.0" customHeight="1">
      <c r="A781" s="184"/>
      <c r="B781" s="8"/>
      <c r="C781" s="185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24.0" customHeight="1">
      <c r="A782" s="184"/>
      <c r="B782" s="8"/>
      <c r="C782" s="185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24.0" customHeight="1">
      <c r="A783" s="184"/>
      <c r="B783" s="8"/>
      <c r="C783" s="185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24.0" customHeight="1">
      <c r="A784" s="184"/>
      <c r="B784" s="8"/>
      <c r="C784" s="185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24.0" customHeight="1">
      <c r="A785" s="184"/>
      <c r="B785" s="8"/>
      <c r="C785" s="185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24.0" customHeight="1">
      <c r="A786" s="184"/>
      <c r="B786" s="8"/>
      <c r="C786" s="185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24.0" customHeight="1">
      <c r="A787" s="184"/>
      <c r="B787" s="8"/>
      <c r="C787" s="185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24.0" customHeight="1">
      <c r="A788" s="184"/>
      <c r="B788" s="8"/>
      <c r="C788" s="185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24.0" customHeight="1">
      <c r="A789" s="184"/>
      <c r="B789" s="8"/>
      <c r="C789" s="185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24.0" customHeight="1">
      <c r="A790" s="184"/>
      <c r="B790" s="8"/>
      <c r="C790" s="185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24.0" customHeight="1">
      <c r="A791" s="184"/>
      <c r="B791" s="8"/>
      <c r="C791" s="185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24.0" customHeight="1">
      <c r="A792" s="184"/>
      <c r="B792" s="8"/>
      <c r="C792" s="185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24.0" customHeight="1">
      <c r="A793" s="184"/>
      <c r="B793" s="8"/>
      <c r="C793" s="185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24.0" customHeight="1">
      <c r="A794" s="184"/>
      <c r="B794" s="8"/>
      <c r="C794" s="185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24.0" customHeight="1">
      <c r="A795" s="184"/>
      <c r="B795" s="8"/>
      <c r="C795" s="185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24.0" customHeight="1">
      <c r="A796" s="184"/>
      <c r="B796" s="8"/>
      <c r="C796" s="185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24.0" customHeight="1">
      <c r="A797" s="184"/>
      <c r="B797" s="8"/>
      <c r="C797" s="185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24.0" customHeight="1">
      <c r="A798" s="184"/>
      <c r="B798" s="8"/>
      <c r="C798" s="185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24.0" customHeight="1">
      <c r="A799" s="184"/>
      <c r="B799" s="8"/>
      <c r="C799" s="185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24.0" customHeight="1">
      <c r="A800" s="184"/>
      <c r="B800" s="8"/>
      <c r="C800" s="185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24.0" customHeight="1">
      <c r="A801" s="184"/>
      <c r="B801" s="8"/>
      <c r="C801" s="185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24.0" customHeight="1">
      <c r="A802" s="184"/>
      <c r="B802" s="8"/>
      <c r="C802" s="185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24.0" customHeight="1">
      <c r="A803" s="184"/>
      <c r="B803" s="8"/>
      <c r="C803" s="185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24.0" customHeight="1">
      <c r="A804" s="184"/>
      <c r="B804" s="8"/>
      <c r="C804" s="185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24.0" customHeight="1">
      <c r="A805" s="184"/>
      <c r="B805" s="8"/>
      <c r="C805" s="185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24.0" customHeight="1">
      <c r="A806" s="184"/>
      <c r="B806" s="8"/>
      <c r="C806" s="185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24.0" customHeight="1">
      <c r="A807" s="184"/>
      <c r="B807" s="8"/>
      <c r="C807" s="185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24.0" customHeight="1">
      <c r="A808" s="184"/>
      <c r="B808" s="8"/>
      <c r="C808" s="185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24.0" customHeight="1">
      <c r="A809" s="184"/>
      <c r="B809" s="8"/>
      <c r="C809" s="185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24.0" customHeight="1">
      <c r="A810" s="184"/>
      <c r="B810" s="8"/>
      <c r="C810" s="185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24.0" customHeight="1">
      <c r="A811" s="184"/>
      <c r="B811" s="8"/>
      <c r="C811" s="185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24.0" customHeight="1">
      <c r="A812" s="184"/>
      <c r="B812" s="8"/>
      <c r="C812" s="185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24.0" customHeight="1">
      <c r="A813" s="184"/>
      <c r="B813" s="8"/>
      <c r="C813" s="185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24.0" customHeight="1">
      <c r="A814" s="184"/>
      <c r="B814" s="8"/>
      <c r="C814" s="185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24.0" customHeight="1">
      <c r="A815" s="184"/>
      <c r="B815" s="8"/>
      <c r="C815" s="185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24.0" customHeight="1">
      <c r="A816" s="184"/>
      <c r="B816" s="8"/>
      <c r="C816" s="185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24.0" customHeight="1">
      <c r="A817" s="184"/>
      <c r="B817" s="8"/>
      <c r="C817" s="185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24.0" customHeight="1">
      <c r="A818" s="184"/>
      <c r="B818" s="8"/>
      <c r="C818" s="185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24.0" customHeight="1">
      <c r="A819" s="184"/>
      <c r="B819" s="8"/>
      <c r="C819" s="185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24.0" customHeight="1">
      <c r="A820" s="184"/>
      <c r="B820" s="8"/>
      <c r="C820" s="185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24.0" customHeight="1">
      <c r="A821" s="184"/>
      <c r="B821" s="8"/>
      <c r="C821" s="185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24.0" customHeight="1">
      <c r="A822" s="184"/>
      <c r="B822" s="8"/>
      <c r="C822" s="185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24.0" customHeight="1">
      <c r="A823" s="184"/>
      <c r="B823" s="8"/>
      <c r="C823" s="185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24.0" customHeight="1">
      <c r="A824" s="184"/>
      <c r="B824" s="8"/>
      <c r="C824" s="185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24.0" customHeight="1">
      <c r="A825" s="184"/>
      <c r="B825" s="8"/>
      <c r="C825" s="185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24.0" customHeight="1">
      <c r="A826" s="184"/>
      <c r="B826" s="8"/>
      <c r="C826" s="185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24.0" customHeight="1">
      <c r="A827" s="184"/>
      <c r="B827" s="8"/>
      <c r="C827" s="185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24.0" customHeight="1">
      <c r="A828" s="184"/>
      <c r="B828" s="8"/>
      <c r="C828" s="185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24.0" customHeight="1">
      <c r="A829" s="184"/>
      <c r="B829" s="8"/>
      <c r="C829" s="185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24.0" customHeight="1">
      <c r="A830" s="184"/>
      <c r="B830" s="8"/>
      <c r="C830" s="185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24.0" customHeight="1">
      <c r="A831" s="184"/>
      <c r="B831" s="8"/>
      <c r="C831" s="185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24.0" customHeight="1">
      <c r="A832" s="184"/>
      <c r="B832" s="8"/>
      <c r="C832" s="185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24.0" customHeight="1">
      <c r="A833" s="184"/>
      <c r="B833" s="8"/>
      <c r="C833" s="185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24.0" customHeight="1">
      <c r="A834" s="184"/>
      <c r="B834" s="8"/>
      <c r="C834" s="185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24.0" customHeight="1">
      <c r="A835" s="184"/>
      <c r="B835" s="8"/>
      <c r="C835" s="185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24.0" customHeight="1">
      <c r="A836" s="184"/>
      <c r="B836" s="8"/>
      <c r="C836" s="185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24.0" customHeight="1">
      <c r="A837" s="184"/>
      <c r="B837" s="8"/>
      <c r="C837" s="185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24.0" customHeight="1">
      <c r="A838" s="184"/>
      <c r="B838" s="8"/>
      <c r="C838" s="185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24.0" customHeight="1">
      <c r="A839" s="184"/>
      <c r="B839" s="8"/>
      <c r="C839" s="185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24.0" customHeight="1">
      <c r="A840" s="184"/>
      <c r="B840" s="8"/>
      <c r="C840" s="185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24.0" customHeight="1">
      <c r="A841" s="184"/>
      <c r="B841" s="8"/>
      <c r="C841" s="185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24.0" customHeight="1">
      <c r="A842" s="184"/>
      <c r="B842" s="8"/>
      <c r="C842" s="185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24.0" customHeight="1">
      <c r="A843" s="184"/>
      <c r="B843" s="8"/>
      <c r="C843" s="185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24.0" customHeight="1">
      <c r="A844" s="184"/>
      <c r="B844" s="8"/>
      <c r="C844" s="185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24.0" customHeight="1">
      <c r="A845" s="184"/>
      <c r="B845" s="8"/>
      <c r="C845" s="185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24.0" customHeight="1">
      <c r="A846" s="184"/>
      <c r="B846" s="8"/>
      <c r="C846" s="185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24.0" customHeight="1">
      <c r="A847" s="184"/>
      <c r="B847" s="8"/>
      <c r="C847" s="185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24.0" customHeight="1">
      <c r="A848" s="184"/>
      <c r="B848" s="8"/>
      <c r="C848" s="185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24.0" customHeight="1">
      <c r="A849" s="184"/>
      <c r="B849" s="8"/>
      <c r="C849" s="185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24.0" customHeight="1">
      <c r="A850" s="184"/>
      <c r="B850" s="8"/>
      <c r="C850" s="185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24.0" customHeight="1">
      <c r="A851" s="184"/>
      <c r="B851" s="8"/>
      <c r="C851" s="185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24.0" customHeight="1">
      <c r="A852" s="184"/>
      <c r="B852" s="8"/>
      <c r="C852" s="185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24.0" customHeight="1">
      <c r="A853" s="184"/>
      <c r="B853" s="8"/>
      <c r="C853" s="185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24.0" customHeight="1">
      <c r="A854" s="184"/>
      <c r="B854" s="8"/>
      <c r="C854" s="185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24.0" customHeight="1">
      <c r="A855" s="184"/>
      <c r="B855" s="8"/>
      <c r="C855" s="185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24.0" customHeight="1">
      <c r="A856" s="184"/>
      <c r="B856" s="8"/>
      <c r="C856" s="185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24.0" customHeight="1">
      <c r="A857" s="184"/>
      <c r="B857" s="8"/>
      <c r="C857" s="185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24.0" customHeight="1">
      <c r="A858" s="184"/>
      <c r="B858" s="8"/>
      <c r="C858" s="185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24.0" customHeight="1">
      <c r="A859" s="184"/>
      <c r="B859" s="8"/>
      <c r="C859" s="185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24.0" customHeight="1">
      <c r="A860" s="184"/>
      <c r="B860" s="8"/>
      <c r="C860" s="185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24.0" customHeight="1">
      <c r="A861" s="184"/>
      <c r="B861" s="8"/>
      <c r="C861" s="185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24.0" customHeight="1">
      <c r="A862" s="184"/>
      <c r="B862" s="8"/>
      <c r="C862" s="185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24.0" customHeight="1">
      <c r="A863" s="184"/>
      <c r="B863" s="8"/>
      <c r="C863" s="185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24.0" customHeight="1">
      <c r="A864" s="184"/>
      <c r="B864" s="8"/>
      <c r="C864" s="185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24.0" customHeight="1">
      <c r="A865" s="184"/>
      <c r="B865" s="8"/>
      <c r="C865" s="185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24.0" customHeight="1">
      <c r="A866" s="184"/>
      <c r="B866" s="8"/>
      <c r="C866" s="185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24.0" customHeight="1">
      <c r="A867" s="184"/>
      <c r="B867" s="8"/>
      <c r="C867" s="185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24.0" customHeight="1">
      <c r="A868" s="184"/>
      <c r="B868" s="8"/>
      <c r="C868" s="185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24.0" customHeight="1">
      <c r="A869" s="184"/>
      <c r="B869" s="8"/>
      <c r="C869" s="185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24.0" customHeight="1">
      <c r="A870" s="184"/>
      <c r="B870" s="8"/>
      <c r="C870" s="185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24.0" customHeight="1">
      <c r="A871" s="184"/>
      <c r="B871" s="8"/>
      <c r="C871" s="185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24.0" customHeight="1">
      <c r="A872" s="184"/>
      <c r="B872" s="8"/>
      <c r="C872" s="185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24.0" customHeight="1">
      <c r="A873" s="184"/>
      <c r="B873" s="8"/>
      <c r="C873" s="185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24.0" customHeight="1">
      <c r="A874" s="184"/>
      <c r="B874" s="8"/>
      <c r="C874" s="185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24.0" customHeight="1">
      <c r="A875" s="184"/>
      <c r="B875" s="8"/>
      <c r="C875" s="185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24.0" customHeight="1">
      <c r="A876" s="184"/>
      <c r="B876" s="8"/>
      <c r="C876" s="185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24.0" customHeight="1">
      <c r="A877" s="184"/>
      <c r="B877" s="8"/>
      <c r="C877" s="185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24.0" customHeight="1">
      <c r="A878" s="184"/>
      <c r="B878" s="8"/>
      <c r="C878" s="185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24.0" customHeight="1">
      <c r="A879" s="184"/>
      <c r="B879" s="8"/>
      <c r="C879" s="185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24.0" customHeight="1">
      <c r="A880" s="184"/>
      <c r="B880" s="8"/>
      <c r="C880" s="185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24.0" customHeight="1">
      <c r="A881" s="184"/>
      <c r="B881" s="8"/>
      <c r="C881" s="185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24.0" customHeight="1">
      <c r="A882" s="184"/>
      <c r="B882" s="8"/>
      <c r="C882" s="185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24.0" customHeight="1">
      <c r="A883" s="184"/>
      <c r="B883" s="8"/>
      <c r="C883" s="185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24.0" customHeight="1">
      <c r="A884" s="184"/>
      <c r="B884" s="8"/>
      <c r="C884" s="185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24.0" customHeight="1">
      <c r="A885" s="184"/>
      <c r="B885" s="8"/>
      <c r="C885" s="185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24.0" customHeight="1">
      <c r="A886" s="184"/>
      <c r="B886" s="8"/>
      <c r="C886" s="185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24.0" customHeight="1">
      <c r="A887" s="184"/>
      <c r="B887" s="8"/>
      <c r="C887" s="185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24.0" customHeight="1">
      <c r="A888" s="184"/>
      <c r="B888" s="8"/>
      <c r="C888" s="185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24.0" customHeight="1">
      <c r="A889" s="184"/>
      <c r="B889" s="8"/>
      <c r="C889" s="185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24.0" customHeight="1">
      <c r="A890" s="184"/>
      <c r="B890" s="8"/>
      <c r="C890" s="185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24.0" customHeight="1">
      <c r="A891" s="184"/>
      <c r="B891" s="8"/>
      <c r="C891" s="185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24.0" customHeight="1">
      <c r="A892" s="184"/>
      <c r="B892" s="8"/>
      <c r="C892" s="185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24.0" customHeight="1">
      <c r="A893" s="184"/>
      <c r="B893" s="8"/>
      <c r="C893" s="185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24.0" customHeight="1">
      <c r="A894" s="184"/>
      <c r="B894" s="8"/>
      <c r="C894" s="185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24.0" customHeight="1">
      <c r="A895" s="184"/>
      <c r="B895" s="8"/>
      <c r="C895" s="185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24.0" customHeight="1">
      <c r="A896" s="184"/>
      <c r="B896" s="8"/>
      <c r="C896" s="185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24.0" customHeight="1">
      <c r="A897" s="184"/>
      <c r="B897" s="8"/>
      <c r="C897" s="185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24.0" customHeight="1">
      <c r="A898" s="184"/>
      <c r="B898" s="8"/>
      <c r="C898" s="185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24.0" customHeight="1">
      <c r="A899" s="184"/>
      <c r="B899" s="8"/>
      <c r="C899" s="185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24.0" customHeight="1">
      <c r="A900" s="184"/>
      <c r="B900" s="8"/>
      <c r="C900" s="185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24.0" customHeight="1">
      <c r="A901" s="184"/>
      <c r="B901" s="8"/>
      <c r="C901" s="185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24.0" customHeight="1">
      <c r="A902" s="184"/>
      <c r="B902" s="8"/>
      <c r="C902" s="185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24.0" customHeight="1">
      <c r="A903" s="184"/>
      <c r="B903" s="8"/>
      <c r="C903" s="185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24.0" customHeight="1">
      <c r="A904" s="184"/>
      <c r="B904" s="8"/>
      <c r="C904" s="185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24.0" customHeight="1">
      <c r="A905" s="184"/>
      <c r="B905" s="8"/>
      <c r="C905" s="185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24.0" customHeight="1">
      <c r="A906" s="184"/>
      <c r="B906" s="8"/>
      <c r="C906" s="185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24.0" customHeight="1">
      <c r="A907" s="184"/>
      <c r="B907" s="8"/>
      <c r="C907" s="185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24.0" customHeight="1">
      <c r="A908" s="184"/>
      <c r="B908" s="8"/>
      <c r="C908" s="185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24.0" customHeight="1">
      <c r="A909" s="184"/>
      <c r="B909" s="8"/>
      <c r="C909" s="185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24.0" customHeight="1">
      <c r="A910" s="184"/>
      <c r="B910" s="8"/>
      <c r="C910" s="185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24.0" customHeight="1">
      <c r="A911" s="184"/>
      <c r="B911" s="8"/>
      <c r="C911" s="185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24.0" customHeight="1">
      <c r="A912" s="184"/>
      <c r="B912" s="8"/>
      <c r="C912" s="185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24.0" customHeight="1">
      <c r="A913" s="184"/>
      <c r="B913" s="8"/>
      <c r="C913" s="185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24.0" customHeight="1">
      <c r="A914" s="184"/>
      <c r="B914" s="8"/>
      <c r="C914" s="185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24.0" customHeight="1">
      <c r="A915" s="184"/>
      <c r="B915" s="8"/>
      <c r="C915" s="185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24.0" customHeight="1">
      <c r="A916" s="184"/>
      <c r="B916" s="8"/>
      <c r="C916" s="185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24.0" customHeight="1">
      <c r="A917" s="184"/>
      <c r="B917" s="8"/>
      <c r="C917" s="185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24.0" customHeight="1">
      <c r="A918" s="184"/>
      <c r="B918" s="8"/>
      <c r="C918" s="185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24.0" customHeight="1">
      <c r="A919" s="184"/>
      <c r="B919" s="8"/>
      <c r="C919" s="185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24.0" customHeight="1">
      <c r="A920" s="184"/>
      <c r="B920" s="8"/>
      <c r="C920" s="185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24.0" customHeight="1">
      <c r="A921" s="184"/>
      <c r="B921" s="8"/>
      <c r="C921" s="185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24.0" customHeight="1">
      <c r="A922" s="184"/>
      <c r="B922" s="8"/>
      <c r="C922" s="185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24.0" customHeight="1">
      <c r="A923" s="184"/>
      <c r="B923" s="8"/>
      <c r="C923" s="185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24.0" customHeight="1">
      <c r="A924" s="184"/>
      <c r="B924" s="8"/>
      <c r="C924" s="185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24.0" customHeight="1">
      <c r="A925" s="184"/>
      <c r="B925" s="8"/>
      <c r="C925" s="185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24.0" customHeight="1">
      <c r="A926" s="184"/>
      <c r="B926" s="8"/>
      <c r="C926" s="185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24.0" customHeight="1">
      <c r="A927" s="184"/>
      <c r="B927" s="8"/>
      <c r="C927" s="185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24.0" customHeight="1">
      <c r="A928" s="184"/>
      <c r="B928" s="8"/>
      <c r="C928" s="185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24.0" customHeight="1">
      <c r="A929" s="184"/>
      <c r="B929" s="8"/>
      <c r="C929" s="185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24.0" customHeight="1">
      <c r="A930" s="184"/>
      <c r="B930" s="8"/>
      <c r="C930" s="185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24.0" customHeight="1">
      <c r="A931" s="184"/>
      <c r="B931" s="8"/>
      <c r="C931" s="185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24.0" customHeight="1">
      <c r="A932" s="184"/>
      <c r="B932" s="8"/>
      <c r="C932" s="185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24.0" customHeight="1">
      <c r="A933" s="184"/>
      <c r="B933" s="8"/>
      <c r="C933" s="185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24.0" customHeight="1">
      <c r="A934" s="184"/>
      <c r="B934" s="8"/>
      <c r="C934" s="185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24.0" customHeight="1">
      <c r="A935" s="184"/>
      <c r="B935" s="8"/>
      <c r="C935" s="185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24.0" customHeight="1">
      <c r="A936" s="184"/>
      <c r="B936" s="8"/>
      <c r="C936" s="185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24.0" customHeight="1">
      <c r="A937" s="184"/>
      <c r="B937" s="8"/>
      <c r="C937" s="185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24.0" customHeight="1">
      <c r="A938" s="184"/>
      <c r="B938" s="8"/>
      <c r="C938" s="185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24.0" customHeight="1">
      <c r="A939" s="184"/>
      <c r="B939" s="8"/>
      <c r="C939" s="185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24.0" customHeight="1">
      <c r="A940" s="184"/>
      <c r="B940" s="8"/>
      <c r="C940" s="185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24.0" customHeight="1">
      <c r="A941" s="184"/>
      <c r="B941" s="8"/>
      <c r="C941" s="185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24.0" customHeight="1">
      <c r="A942" s="184"/>
      <c r="B942" s="8"/>
      <c r="C942" s="185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24.0" customHeight="1">
      <c r="A943" s="184"/>
      <c r="B943" s="8"/>
      <c r="C943" s="185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24.0" customHeight="1">
      <c r="A944" s="184"/>
      <c r="B944" s="8"/>
      <c r="C944" s="185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24.0" customHeight="1">
      <c r="A945" s="184"/>
      <c r="B945" s="8"/>
      <c r="C945" s="185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24.0" customHeight="1">
      <c r="A946" s="184"/>
      <c r="B946" s="8"/>
      <c r="C946" s="185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24.0" customHeight="1">
      <c r="A947" s="184"/>
      <c r="B947" s="8"/>
      <c r="C947" s="185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24.0" customHeight="1">
      <c r="A948" s="184"/>
      <c r="B948" s="8"/>
      <c r="C948" s="185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24.0" customHeight="1">
      <c r="A949" s="184"/>
      <c r="B949" s="8"/>
      <c r="C949" s="185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24.0" customHeight="1">
      <c r="A950" s="184"/>
      <c r="B950" s="8"/>
      <c r="C950" s="185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24.0" customHeight="1">
      <c r="A951" s="184"/>
      <c r="B951" s="8"/>
      <c r="C951" s="185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24.0" customHeight="1">
      <c r="A952" s="184"/>
      <c r="B952" s="8"/>
      <c r="C952" s="185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24.0" customHeight="1">
      <c r="A953" s="184"/>
      <c r="B953" s="8"/>
      <c r="C953" s="185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24.0" customHeight="1">
      <c r="A954" s="184"/>
      <c r="B954" s="8"/>
      <c r="C954" s="185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24.0" customHeight="1">
      <c r="A955" s="184"/>
      <c r="B955" s="8"/>
      <c r="C955" s="185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24.0" customHeight="1">
      <c r="A956" s="184"/>
      <c r="B956" s="8"/>
      <c r="C956" s="185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24.0" customHeight="1">
      <c r="A957" s="184"/>
      <c r="B957" s="8"/>
      <c r="C957" s="185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24.0" customHeight="1">
      <c r="A958" s="184"/>
      <c r="B958" s="8"/>
      <c r="C958" s="185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24.0" customHeight="1">
      <c r="A959" s="184"/>
      <c r="B959" s="8"/>
      <c r="C959" s="185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24.0" customHeight="1">
      <c r="A960" s="184"/>
      <c r="B960" s="8"/>
      <c r="C960" s="185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24.0" customHeight="1">
      <c r="A961" s="184"/>
      <c r="B961" s="8"/>
      <c r="C961" s="185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24.0" customHeight="1">
      <c r="A962" s="184"/>
      <c r="B962" s="8"/>
      <c r="C962" s="185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24.0" customHeight="1">
      <c r="A963" s="184"/>
      <c r="B963" s="8"/>
      <c r="C963" s="185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24.0" customHeight="1">
      <c r="A964" s="184"/>
      <c r="B964" s="8"/>
      <c r="C964" s="185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24.0" customHeight="1">
      <c r="A965" s="184"/>
      <c r="B965" s="8"/>
      <c r="C965" s="185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24.0" customHeight="1">
      <c r="A966" s="184"/>
      <c r="B966" s="8"/>
      <c r="C966" s="185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24.0" customHeight="1">
      <c r="A967" s="184"/>
      <c r="B967" s="8"/>
      <c r="C967" s="185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24.0" customHeight="1">
      <c r="A968" s="184"/>
      <c r="B968" s="8"/>
      <c r="C968" s="185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24.0" customHeight="1">
      <c r="A969" s="184"/>
      <c r="B969" s="8"/>
      <c r="C969" s="185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24.0" customHeight="1">
      <c r="A970" s="184"/>
      <c r="B970" s="8"/>
      <c r="C970" s="185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24.0" customHeight="1">
      <c r="A971" s="184"/>
      <c r="B971" s="8"/>
      <c r="C971" s="185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24.0" customHeight="1">
      <c r="A972" s="184"/>
      <c r="B972" s="8"/>
      <c r="C972" s="185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24.0" customHeight="1">
      <c r="A973" s="184"/>
      <c r="B973" s="8"/>
      <c r="C973" s="185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24.0" customHeight="1">
      <c r="A974" s="184"/>
      <c r="B974" s="8"/>
      <c r="C974" s="185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24.0" customHeight="1">
      <c r="A975" s="184"/>
      <c r="B975" s="8"/>
      <c r="C975" s="185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24.0" customHeight="1">
      <c r="A976" s="184"/>
      <c r="B976" s="8"/>
      <c r="C976" s="185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24.0" customHeight="1">
      <c r="A977" s="184"/>
      <c r="B977" s="8"/>
      <c r="C977" s="185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24.0" customHeight="1">
      <c r="A978" s="184"/>
      <c r="B978" s="8"/>
      <c r="C978" s="185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24.0" customHeight="1">
      <c r="A979" s="184"/>
      <c r="B979" s="8"/>
      <c r="C979" s="185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24.0" customHeight="1">
      <c r="A980" s="184"/>
      <c r="B980" s="8"/>
      <c r="C980" s="185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24.0" customHeight="1">
      <c r="A981" s="184"/>
      <c r="B981" s="8"/>
      <c r="C981" s="185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24.0" customHeight="1">
      <c r="A982" s="184"/>
      <c r="B982" s="8"/>
      <c r="C982" s="185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24.0" customHeight="1">
      <c r="A983" s="184"/>
      <c r="B983" s="8"/>
      <c r="C983" s="185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24.0" customHeight="1">
      <c r="A984" s="184"/>
      <c r="B984" s="8"/>
      <c r="C984" s="185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24.0" customHeight="1">
      <c r="A985" s="184"/>
      <c r="B985" s="8"/>
      <c r="C985" s="185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24.0" customHeight="1">
      <c r="A986" s="184"/>
      <c r="B986" s="8"/>
      <c r="C986" s="185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24.0" customHeight="1">
      <c r="A987" s="184"/>
      <c r="B987" s="8"/>
      <c r="C987" s="185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24.0" customHeight="1">
      <c r="A988" s="184"/>
      <c r="B988" s="8"/>
      <c r="C988" s="185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24.0" customHeight="1">
      <c r="A989" s="184"/>
      <c r="B989" s="8"/>
      <c r="C989" s="185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24.0" customHeight="1">
      <c r="A990" s="184"/>
      <c r="B990" s="8"/>
      <c r="C990" s="185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24.0" customHeight="1">
      <c r="A991" s="184"/>
      <c r="B991" s="8"/>
      <c r="C991" s="185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24.0" customHeight="1">
      <c r="A992" s="184"/>
      <c r="B992" s="8"/>
      <c r="C992" s="185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24.0" customHeight="1">
      <c r="A993" s="184"/>
      <c r="B993" s="8"/>
      <c r="C993" s="185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24.0" customHeight="1">
      <c r="A994" s="184"/>
      <c r="B994" s="8"/>
      <c r="C994" s="185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24.0" customHeight="1">
      <c r="A995" s="184"/>
      <c r="B995" s="8"/>
      <c r="C995" s="185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24.0" customHeight="1">
      <c r="A996" s="184"/>
      <c r="B996" s="8"/>
      <c r="C996" s="185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24.0" customHeight="1">
      <c r="A997" s="184"/>
      <c r="B997" s="8"/>
      <c r="C997" s="185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24.0" customHeight="1">
      <c r="A998" s="184"/>
      <c r="B998" s="8"/>
      <c r="C998" s="185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24.0" customHeight="1">
      <c r="A999" s="184"/>
      <c r="B999" s="8"/>
      <c r="C999" s="185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mergeCells count="1">
    <mergeCell ref="B1:D1"/>
  </mergeCells>
  <printOptions horizontalCentered="1"/>
  <pageMargins bottom="0.5" footer="0.0" header="0.0" left="0.3" right="0.3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2025-11-27T11:47:39Z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